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ealcircle-my.sharepoint.com/personal/graig_groebli_dealcircle_com/Documents/Misc/Dokumente/Enablement VS Project/Downloads/Verkaeufer/"/>
    </mc:Choice>
  </mc:AlternateContent>
  <xr:revisionPtr revIDLastSave="605" documentId="11_2D63552BED1871EEB1AD73EFBC9A93B49E37181F" xr6:coauthVersionLast="47" xr6:coauthVersionMax="47" xr10:uidLastSave="{76015CF3-EB10-4D8E-878D-EEDDDB74AA22}"/>
  <bookViews>
    <workbookView xWindow="-120" yWindow="-120" windowWidth="29040" windowHeight="17520" xr2:uid="{00000000-000D-0000-FFFF-FFFF00000000}"/>
  </bookViews>
  <sheets>
    <sheet name="Matrix" sheetId="1" r:id="rId1"/>
    <sheet name="Beispie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3" i="2" l="1"/>
  <c r="G65" i="2" s="1"/>
  <c r="F63" i="2"/>
  <c r="F65" i="2" s="1"/>
  <c r="E63" i="2"/>
  <c r="E65" i="2" s="1"/>
  <c r="D63" i="2"/>
  <c r="D65" i="2" s="1"/>
  <c r="G62" i="2"/>
  <c r="F62" i="2"/>
  <c r="E62" i="2"/>
  <c r="D62" i="2"/>
  <c r="G58" i="2"/>
  <c r="F58" i="2"/>
  <c r="E58" i="2"/>
  <c r="D58" i="2"/>
  <c r="B56" i="2"/>
  <c r="G41" i="2"/>
  <c r="F41" i="2"/>
  <c r="E41" i="2"/>
  <c r="D41" i="2"/>
  <c r="G36" i="2"/>
  <c r="F36" i="2"/>
  <c r="E36" i="2"/>
  <c r="D36" i="2"/>
  <c r="G30" i="2"/>
  <c r="F30" i="2"/>
  <c r="E30" i="2"/>
  <c r="D30" i="2"/>
  <c r="G24" i="2"/>
  <c r="F24" i="2"/>
  <c r="E24" i="2"/>
  <c r="D24" i="2"/>
  <c r="G20" i="2"/>
  <c r="F20" i="2"/>
  <c r="E20" i="2"/>
  <c r="D20" i="2"/>
  <c r="G72" i="1"/>
  <c r="F72" i="1"/>
  <c r="E72" i="1"/>
  <c r="G70" i="1"/>
  <c r="G71" i="1" s="1"/>
  <c r="F70" i="1"/>
  <c r="F71" i="1" s="1"/>
  <c r="E70" i="1"/>
  <c r="E71" i="1" s="1"/>
  <c r="D70" i="1"/>
  <c r="D72" i="1" s="1"/>
  <c r="G69" i="1"/>
  <c r="F69" i="1"/>
  <c r="E69" i="1"/>
  <c r="D69" i="1"/>
  <c r="G65" i="1"/>
  <c r="F65" i="1"/>
  <c r="E65" i="1"/>
  <c r="D65" i="1"/>
  <c r="B63" i="1"/>
  <c r="G48" i="1"/>
  <c r="F48" i="1"/>
  <c r="E48" i="1"/>
  <c r="D48" i="1"/>
  <c r="G43" i="1"/>
  <c r="F43" i="1"/>
  <c r="E43" i="1"/>
  <c r="D43" i="1"/>
  <c r="G37" i="1"/>
  <c r="F37" i="1"/>
  <c r="E37" i="1"/>
  <c r="D37" i="1"/>
  <c r="G31" i="1"/>
  <c r="F31" i="1"/>
  <c r="E31" i="1"/>
  <c r="D31" i="1"/>
  <c r="G27" i="1"/>
  <c r="F27" i="1"/>
  <c r="E27" i="1"/>
  <c r="D27" i="1"/>
  <c r="G64" i="2" l="1"/>
  <c r="D64" i="2"/>
  <c r="D71" i="1"/>
  <c r="E64" i="2"/>
  <c r="F64" i="2"/>
</calcChain>
</file>

<file path=xl/sharedStrings.xml><?xml version="1.0" encoding="utf-8"?>
<sst xmlns="http://schemas.openxmlformats.org/spreadsheetml/2006/main" count="171" uniqueCount="89">
  <si>
    <t>DUB  ·  VERKÄUFER-ACADEMY</t>
  </si>
  <si>
    <t>MODUL 6 · KÄUFER- UND ANGEBOTS-SCREENING</t>
  </si>
  <si>
    <t>Käufer-Bewertungsmatrix</t>
  </si>
  <si>
    <t>Mehrere Kaufinteressenten systematisch vergleichen, bevor du dich für einen LOI entscheidest</t>
  </si>
  <si>
    <t xml:space="preserve">  ▶   SO GEHST DU VOR</t>
  </si>
  <si>
    <t>1.  Trage in Abschnitt 1 und 2 ein, wer sich gemeldet hat und was geboten wird. Der Anteil der Sofortzahlung rechnet sich von selbst.</t>
  </si>
  <si>
    <t>2.  Hake in Abschnitt 3 die Nachweise ab. Diese Punkte sind nicht verhandelbar: Wer sie nicht vorlegen kann oder will, kommt nicht in den LOI, unabhängig von seiner Bewertung.</t>
  </si>
  <si>
    <t>3.  Vergib in Abschnitt 4 für jedes Kriterium 0 bis 3 Punkte je Kandidat. Die Gewichtung ist vorbelegt und anpassbar, in Summe muss sie 100 % ergeben.</t>
  </si>
  <si>
    <t>4.  Abschnitt 5 zeigt Gesamtbewertung und Rangfolge, Abschnitt 6 hilft dir beim Einordnen.</t>
  </si>
  <si>
    <t>Punkteskala:   0 = nicht erfüllt oder nicht belegt   ·   1 = ansatzweise   ·   2 = weitgehend   ·   3 = vollständig erfüllt</t>
  </si>
  <si>
    <t>Die orange hinterlegten Felder sind Eingabefelder. Alle übrigen Werte berechnen sich automatisch.</t>
  </si>
  <si>
    <t xml:space="preserve">  1   DIE KANDIDATEN</t>
  </si>
  <si>
    <t>Angaben aus Anfrage und Käuferprofil</t>
  </si>
  <si>
    <t>Kandidat 1</t>
  </si>
  <si>
    <t>Kandidat 2</t>
  </si>
  <si>
    <t>Kandidat 3</t>
  </si>
  <si>
    <t>Kandidat 4</t>
  </si>
  <si>
    <t>Name oder Firma</t>
  </si>
  <si>
    <t>Käufertyp</t>
  </si>
  <si>
    <t>Datum der Anfrage</t>
  </si>
  <si>
    <t>Bei kleinen Unternehmen sind Privatpersonen und MBI-Kandidaten die häufigsten Käufer. Der Typ ist kein Qualitätsmerkmal, er hilft dir nur einzuordnen, was dein Gegenüber vorhat.</t>
  </si>
  <si>
    <t xml:space="preserve">  2   DAS ANGEBOT AUF EINEN NENNER</t>
  </si>
  <si>
    <t>Kläre bei jedem Angebot, worauf sich die Zahl bezieht. Ein Angebot über den Unternehmenswert klingt höher, obwohl nach Abzug der Schulden weniger bei dir ankommt (siehe Modul 4, Preisbrücke).</t>
  </si>
  <si>
    <t>Angaben zum Angebot</t>
  </si>
  <si>
    <t>Gebotener Kaufpreis</t>
  </si>
  <si>
    <t>Bezug der Zahl</t>
  </si>
  <si>
    <t>Davon Sofortzahlung bei Closing</t>
  </si>
  <si>
    <t>= Anteil der Sofortzahlung am Kaufpreis</t>
  </si>
  <si>
    <t>Der Rest ist gestundet, meist als Verkäuferdarlehen oder Earn-Out. Beides ist normal und oft nötig, damit die Finanzierung steht. Kritisch wird es, wenn der sofort gezahlte Teil so klein wird, dass du den Großteil des Risikos trägst.</t>
  </si>
  <si>
    <t xml:space="preserve">  3   K.-O.-KRITERIEN VOR DEM LOI</t>
  </si>
  <si>
    <t>Diese Nachweise sind nicht verhandelbar. Fordere sie spätestens an, bevor du dich für einen Käufer entscheidest und damit in der Regel exklusiv verhandelst.</t>
  </si>
  <si>
    <t>Nachweis</t>
  </si>
  <si>
    <t xml:space="preserve">      Vertraulichkeitserklärung unterschrieben</t>
  </si>
  <si>
    <t xml:space="preserve">      Eigenkapitalnachweis vorgelegt</t>
  </si>
  <si>
    <t xml:space="preserve">      Bank-Term-Sheet vorgelegt (falls Fremdkapital nötig)</t>
  </si>
  <si>
    <t xml:space="preserve">      Bonitätsauskunft vorgelegt</t>
  </si>
  <si>
    <t xml:space="preserve">      Referenzen benannt (1–2 Kontakte)</t>
  </si>
  <si>
    <t>= Status der Nachweise</t>
  </si>
  <si>
    <t xml:space="preserve">  4   BEWERTUNG DER KANDIDATEN (GEWICHTET)</t>
  </si>
  <si>
    <t>Vergib je Kriterium 0 bis 3 Punkte:   0 = nicht erfüllt oder nicht belegt   ·   1 = ansatzweise   ·   2 = weitgehend   ·   3 = vollständig erfüllt</t>
  </si>
  <si>
    <t>Kriterium</t>
  </si>
  <si>
    <t>Gewicht</t>
  </si>
  <si>
    <t>A   Seriosität des Käufers</t>
  </si>
  <si>
    <t xml:space="preserve">      Käuferprofil ausgefüllt und aussagekräftig</t>
  </si>
  <si>
    <t xml:space="preserve">      Stellt konkrete, projektbezogene Fragen statt Standardtexte</t>
  </si>
  <si>
    <t xml:space="preserve">      Plausibler Fit zwischen seinen Fähigkeiten und deinem Unternehmen</t>
  </si>
  <si>
    <t xml:space="preserve">      Antwortet verbindlich und zeitnah (nicht länger als 3–4 Tage)</t>
  </si>
  <si>
    <t>B   Das Angebot</t>
  </si>
  <si>
    <t xml:space="preserve">      Höhe des Kaufpreises im Verhältnis zu deiner Bewertungsbandbreite</t>
  </si>
  <si>
    <t xml:space="preserve">      Anteil der Sofortzahlung am Kaufpreis (siehe Abschnitt 2)</t>
  </si>
  <si>
    <t xml:space="preserve">      Wenige und klar formulierte Vorbehalte (Prüfung, Zustimmung Dritter)</t>
  </si>
  <si>
    <t xml:space="preserve">      Realistischer Zeitrahmen bis zum Abschluss (4–6 Wochen nach Prüfung)</t>
  </si>
  <si>
    <t>C   Finanzierung</t>
  </si>
  <si>
    <t xml:space="preserve">      Anteil Eigenkapital an der Finanzierung</t>
  </si>
  <si>
    <t xml:space="preserve">      Fremdfinanzierung ist für das Unternehmen tragbar</t>
  </si>
  <si>
    <t xml:space="preserve">      Finanzierungspartner wurde vor dem LOI eingebunden</t>
  </si>
  <si>
    <t>Bewertete Kriterien</t>
  </si>
  <si>
    <t xml:space="preserve">  5   ERGEBNIS</t>
  </si>
  <si>
    <t>Auswertung</t>
  </si>
  <si>
    <t>GESAMTBEWERTUNG</t>
  </si>
  <si>
    <t>Rang</t>
  </si>
  <si>
    <t>Hinweis</t>
  </si>
  <si>
    <t>Ein Kandidat mit einem offenen oder verneinten K.-o.-Kriterium kommt nicht in den LOI, unabhängig von seiner Gesamtbewertung.</t>
  </si>
  <si>
    <t xml:space="preserve">  6   WIE DU DAS ERGEBNIS LIEST</t>
  </si>
  <si>
    <t>Das höchste Angebot ist nicht das beste</t>
  </si>
  <si>
    <t>Zahlungsmodell und Finanzierung entscheiden über die tatsächliche Qualität eines Angebots, nicht die Zahl auf dem Papier. Ein niedrigeres Angebot mit hoher Sofortzahlung kann besser sein als ein höheres mit Earn-Out und vielen Vorbehalten.</t>
  </si>
  <si>
    <t>Ein offenes K.-o.-Kriterium schlägt jeden Score</t>
  </si>
  <si>
    <t>Wer Eigenkapitalnachweis, Bank-Term-Sheet oder Vertraulichkeitserklärung nicht vorlegen kann oder will, geht nicht in den LOI, egal wie gut die Bewertung aussieht.</t>
  </si>
  <si>
    <t>Verkäuferdarlehen und Earn-Out sind normal</t>
  </si>
  <si>
    <t>Gerade bei kleineren Transaktionen sind gestundete Anteile oft die Voraussetzung dafür, dass die Finanzierung überhaupt steht. Entscheidend ist nicht, ob sie vorkommen, sondern wie klein der sofort gezahlte Teil dadurch wird.</t>
  </si>
  <si>
    <t>Vergleichbar wird es erst über denselben Bezug</t>
  </si>
  <si>
    <t>Kläre bei jedem Angebot, ob sich die Zahl auf den Unternehmenswert bezieht oder auf das, was nach Abzug der Schulden bei dir ankommt. Sonst vergleichst du zwei verschiedene Dinge.</t>
  </si>
  <si>
    <t>Halte mehrere Kandidaten parallel im Prozess</t>
  </si>
  <si>
    <t>Wettbewerb verbessert deine Verhandlungsposition und den Preis. Entscheide dich erst mit dem LOI, denn ab dort verhandelst du in der Regel exklusiv.</t>
  </si>
  <si>
    <t>Diese Matrix dient der Orientierung und ersetzt keine Rechts-, Steuer- oder Finanzberatung.    DUB · info@dub.de · www.dub.de    © 2026 Deutsche Unternehmerbörse DUB.de GmbH</t>
  </si>
  <si>
    <t>Käufer-Bewertungsmatrix  –  ausgefülltes Beispiel</t>
  </si>
  <si>
    <t>Dieses Blatt zeigt die Matrix mit drei Beispiel-Kandidaten. Beachte den Vergleich von Nordbau und K. Reimers: Das höhere Angebot schneidet schlechter ab, weil Sofortzahlung und Finanzierung schwächer sind. Arbeite im Blatt „Matrix“ mit deinen eigenen Kandidaten.</t>
  </si>
  <si>
    <t>M. Brandt</t>
  </si>
  <si>
    <t>Nordbau Gruppe GmbH</t>
  </si>
  <si>
    <t>K. Reimers</t>
  </si>
  <si>
    <t>Privatperson / MBI</t>
  </si>
  <si>
    <t>Strategischer Käufer</t>
  </si>
  <si>
    <t>14.04.2026</t>
  </si>
  <si>
    <t>02.05.2026</t>
  </si>
  <si>
    <t>21.05.2026</t>
  </si>
  <si>
    <t>Unternehmenswert (cash and debt free)</t>
  </si>
  <si>
    <t>ja</t>
  </si>
  <si>
    <t>nein</t>
  </si>
  <si>
    <t>offen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</si>
</sst>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0\ &quot;€&quot;;[Red]\-#,##0\ &quot;€&quot;"/>
    <numFmt numFmtId="164" formatCode="0\ %;\-0\ %;&quot;&quot;"/>
    <numFmt numFmtId="165" formatCode="0\ %"/>
    <numFmt numFmtId="166" formatCode="0;;&quot;&quot;"/>
  </numFmts>
  <fonts count="23" x14ac:knownFonts="1">
    <font>
      <sz val="11"/>
      <color theme="1"/>
      <name val="Calibri"/>
      <family val="2"/>
      <scheme val="minor"/>
    </font>
    <font>
      <b/>
      <sz val="10"/>
      <color rgb="FFC7D0DE"/>
      <name val="Calibri"/>
    </font>
    <font>
      <b/>
      <sz val="10"/>
      <color rgb="FFEE7A1E"/>
      <name val="Calibri"/>
    </font>
    <font>
      <b/>
      <sz val="20"/>
      <color rgb="FFFFFFFF"/>
      <name val="Calibri"/>
    </font>
    <font>
      <sz val="11"/>
      <color rgb="FFC7D0DE"/>
      <name val="Calibri"/>
    </font>
    <font>
      <b/>
      <sz val="11"/>
      <color rgb="FFFFFFFF"/>
      <name val="Calibri"/>
    </font>
    <font>
      <sz val="10"/>
      <color rgb="FF1A1A1A"/>
      <name val="Calibri"/>
    </font>
    <font>
      <i/>
      <sz val="9.5"/>
      <color rgb="FF8A94A6"/>
      <name val="Calibri"/>
    </font>
    <font>
      <b/>
      <sz val="9.5"/>
      <color rgb="FF666666"/>
      <name val="Calibri"/>
    </font>
    <font>
      <b/>
      <sz val="9"/>
      <color rgb="FF0F2744"/>
      <name val="Calibri"/>
    </font>
    <font>
      <sz val="10.5"/>
      <color rgb="FF1A1A1A"/>
      <name val="Calibri"/>
    </font>
    <font>
      <sz val="10.5"/>
      <color rgb="FFB35C0F"/>
      <name val="Calibri"/>
    </font>
    <font>
      <b/>
      <sz val="9.5"/>
      <color rgb="FF0F2744"/>
      <name val="Calibri"/>
    </font>
    <font>
      <b/>
      <sz val="11"/>
      <color rgb="FF0F2744"/>
      <name val="Calibri"/>
    </font>
    <font>
      <b/>
      <sz val="10"/>
      <color rgb="FF0F2744"/>
      <name val="Calibri"/>
    </font>
    <font>
      <b/>
      <sz val="10.5"/>
      <color rgb="FFB35C0F"/>
      <name val="Calibri"/>
    </font>
    <font>
      <b/>
      <sz val="10"/>
      <color rgb="FF1A1A1A"/>
      <name val="Calibri"/>
    </font>
    <font>
      <b/>
      <sz val="13"/>
      <color rgb="FFFFFFFF"/>
      <name val="Calibri"/>
    </font>
    <font>
      <b/>
      <sz val="11"/>
      <color rgb="FF1A1A1A"/>
      <name val="Calibri"/>
    </font>
    <font>
      <b/>
      <sz val="10"/>
      <color rgb="FFC0392B"/>
      <name val="Calibri"/>
    </font>
    <font>
      <sz val="9.5"/>
      <color rgb="FF1A1A1A"/>
      <name val="Calibri"/>
    </font>
    <font>
      <sz val="9"/>
      <color rgb="FF8A94A6"/>
      <name val="Calibri"/>
    </font>
    <font>
      <sz val="10"/>
      <color rgb="FF0F2744"/>
      <name val="Calibri"/>
    </font>
  </fonts>
  <fills count="7">
    <fill>
      <patternFill patternType="none"/>
    </fill>
    <fill>
      <patternFill patternType="gray125"/>
    </fill>
    <fill>
      <patternFill patternType="solid">
        <fgColor rgb="FF0F2744"/>
      </patternFill>
    </fill>
    <fill>
      <patternFill patternType="solid">
        <fgColor rgb="FFEE7A1E"/>
      </patternFill>
    </fill>
    <fill>
      <patternFill patternType="solid">
        <fgColor rgb="FFFFF8EF"/>
      </patternFill>
    </fill>
    <fill>
      <patternFill patternType="solid">
        <fgColor rgb="FFFDEBD8"/>
      </patternFill>
    </fill>
    <fill>
      <patternFill patternType="solid">
        <fgColor rgb="FFEEF1F5"/>
      </patternFill>
    </fill>
  </fills>
  <borders count="6">
    <border>
      <left/>
      <right/>
      <top/>
      <bottom/>
      <diagonal/>
    </border>
    <border>
      <left/>
      <right/>
      <top/>
      <bottom style="thin">
        <color rgb="FFE5E7EB"/>
      </bottom>
      <diagonal/>
    </border>
    <border>
      <left style="thin">
        <color rgb="FFFFFFFF"/>
      </left>
      <right/>
      <top/>
      <bottom style="thin">
        <color rgb="FFE5E7EB"/>
      </bottom>
      <diagonal/>
    </border>
    <border>
      <left/>
      <right/>
      <top style="thin">
        <color rgb="FF0F2744"/>
      </top>
      <bottom style="thin">
        <color rgb="FFE5E7EB"/>
      </bottom>
      <diagonal/>
    </border>
    <border>
      <left/>
      <right/>
      <top style="thin">
        <color rgb="FF8A94A6"/>
      </top>
      <bottom style="thin">
        <color rgb="FFE5E7EB"/>
      </bottom>
      <diagonal/>
    </border>
    <border>
      <left/>
      <right/>
      <top style="thin">
        <color rgb="FFE5E7EB"/>
      </top>
      <bottom/>
      <diagonal/>
    </border>
  </borders>
  <cellStyleXfs count="1">
    <xf numFmtId="0" fontId="0" fillId="0" borderId="0"/>
  </cellStyleXfs>
  <cellXfs count="43">
    <xf numFmtId="0" fontId="0" fillId="0" borderId="0" xfId="0"/>
    <xf numFmtId="0" fontId="0" fillId="2" borderId="0" xfId="0" applyFill="1"/>
    <xf numFmtId="0" fontId="1" fillId="2" borderId="0" xfId="0" applyFont="1" applyFill="1" applyAlignment="1">
      <alignment horizontal="left" vertical="center"/>
    </xf>
    <xf numFmtId="0" fontId="0" fillId="3" borderId="0" xfId="0" applyFill="1"/>
    <xf numFmtId="0" fontId="9" fillId="0" borderId="0" xfId="0" applyFont="1" applyAlignment="1">
      <alignment horizontal="center" vertical="center" wrapText="1"/>
    </xf>
    <xf numFmtId="0" fontId="10" fillId="0" borderId="1" xfId="0" applyFont="1" applyBorder="1" applyAlignment="1">
      <alignment horizontal="left" vertical="center" wrapText="1"/>
    </xf>
    <xf numFmtId="49" fontId="11" fillId="4" borderId="2" xfId="0" applyNumberFormat="1" applyFont="1" applyFill="1" applyBorder="1" applyAlignment="1">
      <alignment horizontal="center" vertical="center" wrapText="1"/>
    </xf>
    <xf numFmtId="0" fontId="12" fillId="0" borderId="0" xfId="0" applyFont="1" applyAlignment="1">
      <alignment horizontal="center" vertical="center" wrapText="1"/>
    </xf>
    <xf numFmtId="6" fontId="11" fillId="4" borderId="2" xfId="0" applyNumberFormat="1" applyFont="1" applyFill="1" applyBorder="1" applyAlignment="1">
      <alignment horizontal="right" vertical="center"/>
    </xf>
    <xf numFmtId="164" fontId="13" fillId="5" borderId="3" xfId="0" applyNumberFormat="1" applyFont="1" applyFill="1" applyBorder="1" applyAlignment="1">
      <alignment horizontal="center" vertical="center" wrapText="1"/>
    </xf>
    <xf numFmtId="49" fontId="13" fillId="5" borderId="3" xfId="0" applyNumberFormat="1" applyFont="1" applyFill="1" applyBorder="1" applyAlignment="1">
      <alignment horizontal="center" vertical="center" wrapText="1"/>
    </xf>
    <xf numFmtId="165" fontId="15" fillId="4" borderId="2" xfId="0" applyNumberFormat="1" applyFont="1" applyFill="1" applyBorder="1" applyAlignment="1">
      <alignment horizontal="center" vertical="center" wrapText="1"/>
    </xf>
    <xf numFmtId="166" fontId="11" fillId="4" borderId="2" xfId="0" applyNumberFormat="1" applyFont="1" applyFill="1" applyBorder="1" applyAlignment="1">
      <alignment horizontal="center" vertical="center" wrapText="1"/>
    </xf>
    <xf numFmtId="49" fontId="16" fillId="6" borderId="4" xfId="0" applyNumberFormat="1" applyFont="1" applyFill="1" applyBorder="1" applyAlignment="1">
      <alignment horizontal="center" vertical="center" wrapText="1"/>
    </xf>
    <xf numFmtId="164" fontId="17" fillId="2" borderId="0" xfId="0" applyNumberFormat="1" applyFont="1" applyFill="1" applyAlignment="1">
      <alignment horizontal="center" vertical="center" wrapText="1"/>
    </xf>
    <xf numFmtId="49" fontId="18" fillId="6" borderId="4" xfId="0" applyNumberFormat="1" applyFont="1" applyFill="1" applyBorder="1" applyAlignment="1">
      <alignment horizontal="center" vertical="center" wrapText="1"/>
    </xf>
    <xf numFmtId="49" fontId="19" fillId="6" borderId="0" xfId="0" applyNumberFormat="1" applyFont="1" applyFill="1" applyAlignment="1">
      <alignment horizontal="center" vertical="center" wrapText="1"/>
    </xf>
    <xf numFmtId="0" fontId="14" fillId="0" borderId="5" xfId="0" applyFont="1" applyBorder="1" applyAlignment="1">
      <alignment horizontal="left" vertical="top" wrapText="1"/>
    </xf>
    <xf numFmtId="0" fontId="3" fillId="2" borderId="0" xfId="0" applyFont="1" applyFill="1" applyAlignment="1">
      <alignment horizontal="left" vertical="center"/>
    </xf>
    <xf numFmtId="0" fontId="0" fillId="2" borderId="0" xfId="0" applyFill="1"/>
    <xf numFmtId="0" fontId="6" fillId="0" borderId="0" xfId="0" applyFont="1" applyAlignment="1">
      <alignment horizontal="left" vertical="top" wrapText="1"/>
    </xf>
    <xf numFmtId="0" fontId="0" fillId="0" borderId="0" xfId="0"/>
    <xf numFmtId="0" fontId="14" fillId="5" borderId="0" xfId="0" applyFont="1" applyFill="1" applyAlignment="1">
      <alignment horizontal="left" vertical="center"/>
    </xf>
    <xf numFmtId="0" fontId="0" fillId="5" borderId="0" xfId="0" applyFill="1"/>
    <xf numFmtId="0" fontId="10" fillId="0" borderId="1" xfId="0" applyFont="1" applyBorder="1" applyAlignment="1">
      <alignment horizontal="left" vertical="center" wrapText="1"/>
    </xf>
    <xf numFmtId="0" fontId="0" fillId="0" borderId="1" xfId="0" applyBorder="1"/>
    <xf numFmtId="0" fontId="5" fillId="2" borderId="0" xfId="0" applyFont="1" applyFill="1" applyAlignment="1">
      <alignment horizontal="left" vertical="center"/>
    </xf>
    <xf numFmtId="0" fontId="7" fillId="0" borderId="0" xfId="0" applyFont="1" applyAlignment="1">
      <alignment horizontal="left" vertical="top" wrapText="1"/>
    </xf>
    <xf numFmtId="0" fontId="21" fillId="0" borderId="5" xfId="0" applyFont="1" applyBorder="1" applyAlignment="1">
      <alignment horizontal="left" vertical="top" wrapText="1"/>
    </xf>
    <xf numFmtId="0" fontId="0" fillId="0" borderId="5" xfId="0" applyBorder="1"/>
    <xf numFmtId="0" fontId="20" fillId="0" borderId="5" xfId="0" applyFont="1" applyBorder="1" applyAlignment="1">
      <alignment horizontal="left" vertical="top" wrapText="1"/>
    </xf>
    <xf numFmtId="0" fontId="8" fillId="0" borderId="0" xfId="0" applyFont="1" applyAlignment="1">
      <alignment horizontal="left"/>
    </xf>
    <xf numFmtId="0" fontId="16" fillId="6" borderId="4" xfId="0" applyFont="1" applyFill="1" applyBorder="1" applyAlignment="1">
      <alignment horizontal="left" vertical="center" wrapText="1"/>
    </xf>
    <xf numFmtId="0" fontId="0" fillId="6" borderId="4" xfId="0" applyFill="1" applyBorder="1"/>
    <xf numFmtId="0" fontId="17" fillId="2" borderId="0" xfId="0" applyFont="1" applyFill="1" applyAlignment="1">
      <alignment horizontal="left" vertical="center"/>
    </xf>
    <xf numFmtId="0" fontId="2" fillId="2" borderId="0" xfId="0" applyFont="1" applyFill="1" applyAlignment="1">
      <alignment horizontal="right" vertical="center"/>
    </xf>
    <xf numFmtId="0" fontId="4" fillId="2" borderId="0" xfId="0" applyFont="1" applyFill="1" applyAlignment="1">
      <alignment horizontal="left" vertical="center"/>
    </xf>
    <xf numFmtId="0" fontId="13" fillId="5" borderId="3" xfId="0" applyFont="1" applyFill="1" applyBorder="1" applyAlignment="1">
      <alignment horizontal="left" vertical="center" wrapText="1"/>
    </xf>
    <xf numFmtId="0" fontId="0" fillId="5" borderId="3" xfId="0" applyFill="1" applyBorder="1"/>
    <xf numFmtId="0" fontId="18" fillId="6" borderId="4" xfId="0" applyFont="1" applyFill="1" applyBorder="1" applyAlignment="1">
      <alignment horizontal="left" vertical="center" wrapText="1"/>
    </xf>
    <xf numFmtId="0" fontId="14" fillId="6" borderId="0" xfId="0" applyFont="1" applyFill="1" applyAlignment="1">
      <alignment horizontal="left" vertical="center" wrapText="1"/>
    </xf>
    <xf numFmtId="0" fontId="0" fillId="6" borderId="0" xfId="0" applyFill="1"/>
    <xf numFmtId="0" fontId="22" fillId="5" borderId="0" xfId="0" applyFont="1" applyFill="1" applyAlignment="1">
      <alignment horizontal="lef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2744"/>
    <pageSetUpPr fitToPage="1"/>
  </sheetPr>
  <dimension ref="A1:H83"/>
  <sheetViews>
    <sheetView showGridLines="0" tabSelected="1" topLeftCell="A56" workbookViewId="0">
      <selection activeCell="C55" sqref="C55"/>
    </sheetView>
  </sheetViews>
  <sheetFormatPr baseColWidth="10" defaultColWidth="9.140625" defaultRowHeight="15" x14ac:dyDescent="0.25"/>
  <cols>
    <col min="1" max="1" width="2.140625" customWidth="1"/>
    <col min="2" max="2" width="58" customWidth="1"/>
    <col min="3" max="3" width="13" customWidth="1"/>
    <col min="4" max="7" width="17" customWidth="1"/>
    <col min="8" max="8" width="2.140625" customWidth="1"/>
    <col min="26" max="26" width="9.140625" customWidth="1"/>
  </cols>
  <sheetData>
    <row r="1" spans="1:8" ht="6" customHeight="1" x14ac:dyDescent="0.25">
      <c r="A1" s="1"/>
      <c r="B1" s="1"/>
      <c r="C1" s="1"/>
      <c r="D1" s="1"/>
      <c r="E1" s="1"/>
      <c r="F1" s="1"/>
      <c r="G1" s="1"/>
      <c r="H1" s="1"/>
    </row>
    <row r="2" spans="1:8" ht="18" customHeight="1" x14ac:dyDescent="0.25">
      <c r="A2" s="1"/>
      <c r="B2" s="2" t="s">
        <v>0</v>
      </c>
      <c r="C2" s="1"/>
      <c r="D2" s="1"/>
      <c r="E2" s="35" t="s">
        <v>1</v>
      </c>
      <c r="F2" s="19"/>
      <c r="G2" s="19"/>
      <c r="H2" s="1"/>
    </row>
    <row r="3" spans="1:8" ht="30" customHeight="1" x14ac:dyDescent="0.25">
      <c r="A3" s="1"/>
      <c r="B3" s="18" t="s">
        <v>2</v>
      </c>
      <c r="C3" s="19"/>
      <c r="D3" s="19"/>
      <c r="E3" s="19"/>
      <c r="F3" s="19"/>
      <c r="G3" s="19"/>
      <c r="H3" s="1"/>
    </row>
    <row r="4" spans="1:8" ht="18.95" customHeight="1" x14ac:dyDescent="0.25">
      <c r="A4" s="1"/>
      <c r="B4" s="36" t="s">
        <v>3</v>
      </c>
      <c r="C4" s="19"/>
      <c r="D4" s="19"/>
      <c r="E4" s="19"/>
      <c r="F4" s="19"/>
      <c r="G4" s="19"/>
      <c r="H4" s="1"/>
    </row>
    <row r="5" spans="1:8" ht="8.1" customHeight="1" x14ac:dyDescent="0.25">
      <c r="A5" s="1"/>
      <c r="B5" s="1"/>
      <c r="C5" s="1"/>
      <c r="D5" s="1"/>
      <c r="E5" s="1"/>
      <c r="F5" s="1"/>
      <c r="G5" s="1"/>
      <c r="H5" s="1"/>
    </row>
    <row r="6" spans="1:8" ht="9.9499999999999993" customHeight="1" x14ac:dyDescent="0.25"/>
    <row r="7" spans="1:8" ht="6.95" customHeight="1" x14ac:dyDescent="0.25"/>
    <row r="8" spans="1:8" ht="24" customHeight="1" x14ac:dyDescent="0.25">
      <c r="A8" s="3"/>
      <c r="B8" s="26" t="s">
        <v>4</v>
      </c>
      <c r="C8" s="19"/>
      <c r="D8" s="19"/>
      <c r="E8" s="19"/>
      <c r="F8" s="19"/>
      <c r="G8" s="19"/>
    </row>
    <row r="9" spans="1:8" ht="18" customHeight="1" x14ac:dyDescent="0.25">
      <c r="B9" s="20" t="s">
        <v>5</v>
      </c>
      <c r="C9" s="21"/>
      <c r="D9" s="21"/>
      <c r="E9" s="21"/>
      <c r="F9" s="21"/>
      <c r="G9" s="21"/>
    </row>
    <row r="10" spans="1:8" ht="29.25" customHeight="1" x14ac:dyDescent="0.25">
      <c r="B10" s="20" t="s">
        <v>6</v>
      </c>
      <c r="C10" s="21"/>
      <c r="D10" s="21"/>
      <c r="E10" s="21"/>
      <c r="F10" s="21"/>
      <c r="G10" s="21"/>
    </row>
    <row r="11" spans="1:8" ht="18" customHeight="1" x14ac:dyDescent="0.25">
      <c r="B11" s="20" t="s">
        <v>7</v>
      </c>
      <c r="C11" s="21"/>
      <c r="D11" s="21"/>
      <c r="E11" s="21"/>
      <c r="F11" s="21"/>
      <c r="G11" s="21"/>
    </row>
    <row r="12" spans="1:8" ht="18" customHeight="1" x14ac:dyDescent="0.25">
      <c r="B12" s="20" t="s">
        <v>8</v>
      </c>
      <c r="C12" s="21"/>
      <c r="D12" s="21"/>
      <c r="E12" s="21"/>
      <c r="F12" s="21"/>
      <c r="G12" s="21"/>
    </row>
    <row r="13" spans="1:8" ht="18" customHeight="1" x14ac:dyDescent="0.25">
      <c r="B13" s="20" t="s">
        <v>9</v>
      </c>
      <c r="C13" s="21"/>
      <c r="D13" s="21"/>
      <c r="E13" s="21"/>
      <c r="F13" s="21"/>
      <c r="G13" s="21"/>
    </row>
    <row r="14" spans="1:8" ht="18" customHeight="1" x14ac:dyDescent="0.25">
      <c r="B14" s="27" t="s">
        <v>10</v>
      </c>
      <c r="C14" s="21"/>
      <c r="D14" s="21"/>
      <c r="E14" s="21"/>
      <c r="F14" s="21"/>
      <c r="G14" s="21"/>
    </row>
    <row r="15" spans="1:8" ht="9.9499999999999993" customHeight="1" x14ac:dyDescent="0.25"/>
    <row r="16" spans="1:8" ht="6.95" customHeight="1" x14ac:dyDescent="0.25"/>
    <row r="17" spans="1:7" ht="24" customHeight="1" x14ac:dyDescent="0.25">
      <c r="A17" s="3"/>
      <c r="B17" s="26" t="s">
        <v>11</v>
      </c>
      <c r="C17" s="19"/>
      <c r="D17" s="19"/>
      <c r="E17" s="19"/>
      <c r="F17" s="19"/>
      <c r="G17" s="19"/>
    </row>
    <row r="18" spans="1:7" ht="20.100000000000001" customHeight="1" x14ac:dyDescent="0.25">
      <c r="B18" s="31" t="s">
        <v>12</v>
      </c>
      <c r="C18" s="21"/>
      <c r="D18" s="4" t="s">
        <v>13</v>
      </c>
      <c r="E18" s="4" t="s">
        <v>14</v>
      </c>
      <c r="F18" s="4" t="s">
        <v>15</v>
      </c>
      <c r="G18" s="4" t="s">
        <v>16</v>
      </c>
    </row>
    <row r="19" spans="1:7" ht="30" customHeight="1" x14ac:dyDescent="0.25">
      <c r="B19" s="24" t="s">
        <v>17</v>
      </c>
      <c r="C19" s="25"/>
      <c r="D19" s="6"/>
      <c r="E19" s="6"/>
      <c r="F19" s="6"/>
      <c r="G19" s="6"/>
    </row>
    <row r="20" spans="1:7" ht="30" customHeight="1" x14ac:dyDescent="0.25">
      <c r="B20" s="24" t="s">
        <v>18</v>
      </c>
      <c r="C20" s="25"/>
      <c r="D20" s="6"/>
      <c r="E20" s="6"/>
      <c r="F20" s="6"/>
      <c r="G20" s="6"/>
    </row>
    <row r="21" spans="1:7" ht="18" customHeight="1" x14ac:dyDescent="0.25">
      <c r="B21" s="24" t="s">
        <v>19</v>
      </c>
      <c r="C21" s="25"/>
      <c r="D21" s="6"/>
      <c r="E21" s="6"/>
      <c r="F21" s="6"/>
      <c r="G21" s="6"/>
    </row>
    <row r="22" spans="1:7" ht="29.25" customHeight="1" x14ac:dyDescent="0.25">
      <c r="B22" s="27" t="s">
        <v>20</v>
      </c>
      <c r="C22" s="21"/>
      <c r="D22" s="21"/>
      <c r="E22" s="21"/>
      <c r="F22" s="21"/>
      <c r="G22" s="21"/>
    </row>
    <row r="23" spans="1:7" ht="9.9499999999999993" customHeight="1" x14ac:dyDescent="0.25"/>
    <row r="24" spans="1:7" ht="6.95" customHeight="1" x14ac:dyDescent="0.25"/>
    <row r="25" spans="1:7" ht="24" customHeight="1" x14ac:dyDescent="0.25">
      <c r="A25" s="3"/>
      <c r="B25" s="26" t="s">
        <v>21</v>
      </c>
      <c r="C25" s="19"/>
      <c r="D25" s="19"/>
      <c r="E25" s="19"/>
      <c r="F25" s="19"/>
      <c r="G25" s="19"/>
    </row>
    <row r="26" spans="1:7" ht="29.25" customHeight="1" x14ac:dyDescent="0.25">
      <c r="B26" s="20" t="s">
        <v>22</v>
      </c>
      <c r="C26" s="21"/>
      <c r="D26" s="21"/>
      <c r="E26" s="21"/>
      <c r="F26" s="21"/>
      <c r="G26" s="21"/>
    </row>
    <row r="27" spans="1:7" ht="30" customHeight="1" x14ac:dyDescent="0.25">
      <c r="B27" s="31" t="s">
        <v>23</v>
      </c>
      <c r="C27" s="21"/>
      <c r="D27" s="7" t="str">
        <f>IF(D19="","Kandidat 1",D19)</f>
        <v>Kandidat 1</v>
      </c>
      <c r="E27" s="7" t="str">
        <f>IF(E19="","Kandidat 2",E19)</f>
        <v>Kandidat 2</v>
      </c>
      <c r="F27" s="7" t="str">
        <f>IF(F19="","Kandidat 3",F19)</f>
        <v>Kandidat 3</v>
      </c>
      <c r="G27" s="7" t="str">
        <f>IF(G19="","Kandidat 4",G19)</f>
        <v>Kandidat 4</v>
      </c>
    </row>
    <row r="28" spans="1:7" ht="18" customHeight="1" x14ac:dyDescent="0.25">
      <c r="B28" s="24" t="s">
        <v>24</v>
      </c>
      <c r="C28" s="25"/>
      <c r="D28" s="8"/>
      <c r="E28" s="8"/>
      <c r="F28" s="8"/>
      <c r="G28" s="8"/>
    </row>
    <row r="29" spans="1:7" ht="30" customHeight="1" x14ac:dyDescent="0.25">
      <c r="B29" s="24" t="s">
        <v>25</v>
      </c>
      <c r="C29" s="25"/>
      <c r="D29" s="6"/>
      <c r="E29" s="6"/>
      <c r="F29" s="6"/>
      <c r="G29" s="6"/>
    </row>
    <row r="30" spans="1:7" ht="18" customHeight="1" x14ac:dyDescent="0.25">
      <c r="B30" s="24" t="s">
        <v>26</v>
      </c>
      <c r="C30" s="25"/>
      <c r="D30" s="8"/>
      <c r="E30" s="8"/>
      <c r="F30" s="8"/>
      <c r="G30" s="8"/>
    </row>
    <row r="31" spans="1:7" ht="21" customHeight="1" x14ac:dyDescent="0.25">
      <c r="B31" s="37" t="s">
        <v>27</v>
      </c>
      <c r="C31" s="38"/>
      <c r="D31" s="9" t="str">
        <f>IFERROR(D30/D28,"")</f>
        <v/>
      </c>
      <c r="E31" s="9" t="str">
        <f>IFERROR(E30/E28,"")</f>
        <v/>
      </c>
      <c r="F31" s="9" t="str">
        <f>IFERROR(F30/F28,"")</f>
        <v/>
      </c>
      <c r="G31" s="9" t="str">
        <f>IFERROR(G30/G28,"")</f>
        <v/>
      </c>
    </row>
    <row r="32" spans="1:7" ht="29.25" customHeight="1" x14ac:dyDescent="0.25">
      <c r="B32" s="27" t="s">
        <v>28</v>
      </c>
      <c r="C32" s="21"/>
      <c r="D32" s="21"/>
      <c r="E32" s="21"/>
      <c r="F32" s="21"/>
      <c r="G32" s="21"/>
    </row>
    <row r="33" spans="1:7" ht="9.9499999999999993" customHeight="1" x14ac:dyDescent="0.25"/>
    <row r="34" spans="1:7" ht="6.95" customHeight="1" x14ac:dyDescent="0.25"/>
    <row r="35" spans="1:7" ht="24" customHeight="1" x14ac:dyDescent="0.25">
      <c r="A35" s="3"/>
      <c r="B35" s="26" t="s">
        <v>29</v>
      </c>
      <c r="C35" s="19"/>
      <c r="D35" s="19"/>
      <c r="E35" s="19"/>
      <c r="F35" s="19"/>
      <c r="G35" s="19"/>
    </row>
    <row r="36" spans="1:7" ht="18" customHeight="1" x14ac:dyDescent="0.25">
      <c r="B36" s="20" t="s">
        <v>30</v>
      </c>
      <c r="C36" s="21"/>
      <c r="D36" s="21"/>
      <c r="E36" s="21"/>
      <c r="F36" s="21"/>
      <c r="G36" s="21"/>
    </row>
    <row r="37" spans="1:7" ht="30" customHeight="1" x14ac:dyDescent="0.25">
      <c r="B37" s="31" t="s">
        <v>31</v>
      </c>
      <c r="C37" s="21"/>
      <c r="D37" s="7" t="str">
        <f>IF(D19="","Kandidat 1",D19)</f>
        <v>Kandidat 1</v>
      </c>
      <c r="E37" s="7" t="str">
        <f>IF(E19="","Kandidat 2",E19)</f>
        <v>Kandidat 2</v>
      </c>
      <c r="F37" s="7" t="str">
        <f>IF(F19="","Kandidat 3",F19)</f>
        <v>Kandidat 3</v>
      </c>
      <c r="G37" s="7" t="str">
        <f>IF(G19="","Kandidat 4",G19)</f>
        <v>Kandidat 4</v>
      </c>
    </row>
    <row r="38" spans="1:7" ht="18" customHeight="1" x14ac:dyDescent="0.25">
      <c r="B38" s="24" t="s">
        <v>32</v>
      </c>
      <c r="C38" s="25"/>
      <c r="D38" s="6"/>
      <c r="E38" s="6"/>
      <c r="F38" s="6"/>
      <c r="G38" s="6"/>
    </row>
    <row r="39" spans="1:7" ht="18" customHeight="1" x14ac:dyDescent="0.25">
      <c r="B39" s="24" t="s">
        <v>33</v>
      </c>
      <c r="C39" s="25"/>
      <c r="D39" s="6"/>
      <c r="E39" s="6"/>
      <c r="F39" s="6"/>
      <c r="G39" s="6"/>
    </row>
    <row r="40" spans="1:7" ht="18" customHeight="1" x14ac:dyDescent="0.25">
      <c r="B40" s="24" t="s">
        <v>34</v>
      </c>
      <c r="C40" s="25"/>
      <c r="D40" s="6"/>
      <c r="E40" s="6"/>
      <c r="F40" s="6"/>
      <c r="G40" s="6"/>
    </row>
    <row r="41" spans="1:7" ht="18" customHeight="1" x14ac:dyDescent="0.25">
      <c r="B41" s="24" t="s">
        <v>35</v>
      </c>
      <c r="C41" s="25"/>
      <c r="D41" s="6"/>
      <c r="E41" s="6"/>
      <c r="F41" s="6"/>
      <c r="G41" s="6"/>
    </row>
    <row r="42" spans="1:7" ht="18" customHeight="1" x14ac:dyDescent="0.25">
      <c r="B42" s="24" t="s">
        <v>36</v>
      </c>
      <c r="C42" s="25"/>
      <c r="D42" s="6"/>
      <c r="E42" s="6"/>
      <c r="F42" s="6"/>
      <c r="G42" s="6"/>
    </row>
    <row r="43" spans="1:7" ht="21" customHeight="1" x14ac:dyDescent="0.25">
      <c r="B43" s="37" t="s">
        <v>37</v>
      </c>
      <c r="C43" s="38"/>
      <c r="D43" s="10" t="str">
        <f>IF(COUNTA(D38:D42)=0,"",IF(COUNTIF(D38:D42,"nein")&gt;0,COUNTIF(D38:D42,"nein")&amp;"× nein",IF(COUNTIF(D38:D42,"ja")=5,"alle erfüllt",COUNTIF(D38:D42,"offen")&amp;"× offen")))</f>
        <v/>
      </c>
      <c r="E43" s="10" t="str">
        <f>IF(COUNTA(E38:E42)=0,"",IF(COUNTIF(E38:E42,"nein")&gt;0,COUNTIF(E38:E42,"nein")&amp;"× nein",IF(COUNTIF(E38:E42,"ja")=5,"alle erfüllt",COUNTIF(E38:E42,"offen")&amp;"× offen")))</f>
        <v/>
      </c>
      <c r="F43" s="10" t="str">
        <f>IF(COUNTA(F38:F42)=0,"",IF(COUNTIF(F38:F42,"nein")&gt;0,COUNTIF(F38:F42,"nein")&amp;"× nein",IF(COUNTIF(F38:F42,"ja")=5,"alle erfüllt",COUNTIF(F38:F42,"offen")&amp;"× offen")))</f>
        <v/>
      </c>
      <c r="G43" s="10" t="str">
        <f>IF(COUNTA(G38:G42)=0,"",IF(COUNTIF(G38:G42,"nein")&gt;0,COUNTIF(G38:G42,"nein")&amp;"× nein",IF(COUNTIF(G38:G42,"ja")=5,"alle erfüllt",COUNTIF(G38:G42,"offen")&amp;"× offen")))</f>
        <v/>
      </c>
    </row>
    <row r="44" spans="1:7" ht="9.9499999999999993" customHeight="1" x14ac:dyDescent="0.25"/>
    <row r="45" spans="1:7" ht="6.95" customHeight="1" x14ac:dyDescent="0.25"/>
    <row r="46" spans="1:7" ht="24" customHeight="1" x14ac:dyDescent="0.25">
      <c r="A46" s="3"/>
      <c r="B46" s="26" t="s">
        <v>38</v>
      </c>
      <c r="C46" s="19"/>
      <c r="D46" s="19"/>
      <c r="E46" s="19"/>
      <c r="F46" s="19"/>
      <c r="G46" s="19"/>
    </row>
    <row r="47" spans="1:7" ht="18" customHeight="1" x14ac:dyDescent="0.25">
      <c r="B47" s="20" t="s">
        <v>39</v>
      </c>
      <c r="C47" s="21"/>
      <c r="D47" s="21"/>
      <c r="E47" s="21"/>
      <c r="F47" s="21"/>
      <c r="G47" s="21"/>
    </row>
    <row r="48" spans="1:7" ht="30" customHeight="1" x14ac:dyDescent="0.25">
      <c r="B48" s="31" t="s">
        <v>40</v>
      </c>
      <c r="C48" s="4" t="s">
        <v>41</v>
      </c>
      <c r="D48" s="7" t="str">
        <f>IF(D19="","Kandidat 1",D19)</f>
        <v>Kandidat 1</v>
      </c>
      <c r="E48" s="7" t="str">
        <f>IF(E19="","Kandidat 2",E19)</f>
        <v>Kandidat 2</v>
      </c>
      <c r="F48" s="7" t="str">
        <f>IF(F19="","Kandidat 3",F19)</f>
        <v>Kandidat 3</v>
      </c>
      <c r="G48" s="7" t="str">
        <f>IF(G19="","Kandidat 4",G19)</f>
        <v>Kandidat 4</v>
      </c>
    </row>
    <row r="49" spans="2:7" ht="18.95" customHeight="1" x14ac:dyDescent="0.25">
      <c r="B49" s="22" t="s">
        <v>42</v>
      </c>
      <c r="C49" s="23"/>
      <c r="D49" s="23"/>
      <c r="E49" s="23"/>
      <c r="F49" s="23"/>
      <c r="G49" s="23"/>
    </row>
    <row r="50" spans="2:7" ht="18" customHeight="1" x14ac:dyDescent="0.25">
      <c r="B50" s="5" t="s">
        <v>43</v>
      </c>
      <c r="C50" s="11">
        <v>0.05</v>
      </c>
      <c r="D50" s="12"/>
      <c r="E50" s="12"/>
      <c r="F50" s="12"/>
      <c r="G50" s="12"/>
    </row>
    <row r="51" spans="2:7" ht="18" customHeight="1" x14ac:dyDescent="0.25">
      <c r="B51" s="5" t="s">
        <v>44</v>
      </c>
      <c r="C51" s="11">
        <v>0.05</v>
      </c>
      <c r="D51" s="12"/>
      <c r="E51" s="12"/>
      <c r="F51" s="12"/>
      <c r="G51" s="12"/>
    </row>
    <row r="52" spans="2:7" ht="31.5" customHeight="1" x14ac:dyDescent="0.25">
      <c r="B52" s="5" t="s">
        <v>45</v>
      </c>
      <c r="C52" s="11">
        <v>0.1</v>
      </c>
      <c r="D52" s="12"/>
      <c r="E52" s="12"/>
      <c r="F52" s="12"/>
      <c r="G52" s="12"/>
    </row>
    <row r="53" spans="2:7" ht="18" customHeight="1" x14ac:dyDescent="0.25">
      <c r="B53" s="5" t="s">
        <v>46</v>
      </c>
      <c r="C53" s="11">
        <v>0.05</v>
      </c>
      <c r="D53" s="12"/>
      <c r="E53" s="12"/>
      <c r="F53" s="12"/>
      <c r="G53" s="12"/>
    </row>
    <row r="54" spans="2:7" ht="18.95" customHeight="1" x14ac:dyDescent="0.25">
      <c r="B54" s="22" t="s">
        <v>47</v>
      </c>
      <c r="C54" s="23"/>
      <c r="D54" s="23"/>
      <c r="E54" s="23"/>
      <c r="F54" s="23"/>
      <c r="G54" s="23"/>
    </row>
    <row r="55" spans="2:7" ht="31.5" customHeight="1" x14ac:dyDescent="0.25">
      <c r="B55" s="5" t="s">
        <v>48</v>
      </c>
      <c r="C55" s="11">
        <v>0.15</v>
      </c>
      <c r="D55" s="12"/>
      <c r="E55" s="12"/>
      <c r="F55" s="12"/>
      <c r="G55" s="12"/>
    </row>
    <row r="56" spans="2:7" ht="18" customHeight="1" x14ac:dyDescent="0.25">
      <c r="B56" s="5" t="s">
        <v>49</v>
      </c>
      <c r="C56" s="11">
        <v>0.15</v>
      </c>
      <c r="D56" s="12"/>
      <c r="E56" s="12"/>
      <c r="F56" s="12"/>
      <c r="G56" s="12"/>
    </row>
    <row r="57" spans="2:7" ht="31.5" customHeight="1" x14ac:dyDescent="0.25">
      <c r="B57" s="5" t="s">
        <v>50</v>
      </c>
      <c r="C57" s="11">
        <v>0.05</v>
      </c>
      <c r="D57" s="12"/>
      <c r="E57" s="12"/>
      <c r="F57" s="12"/>
      <c r="G57" s="12"/>
    </row>
    <row r="58" spans="2:7" ht="31.5" customHeight="1" x14ac:dyDescent="0.25">
      <c r="B58" s="5" t="s">
        <v>51</v>
      </c>
      <c r="C58" s="11">
        <v>0.05</v>
      </c>
      <c r="D58" s="12"/>
      <c r="E58" s="12"/>
      <c r="F58" s="12"/>
      <c r="G58" s="12"/>
    </row>
    <row r="59" spans="2:7" ht="18.95" customHeight="1" x14ac:dyDescent="0.25">
      <c r="B59" s="22" t="s">
        <v>52</v>
      </c>
      <c r="C59" s="23"/>
      <c r="D59" s="23"/>
      <c r="E59" s="23"/>
      <c r="F59" s="23"/>
      <c r="G59" s="23"/>
    </row>
    <row r="60" spans="2:7" ht="18" customHeight="1" x14ac:dyDescent="0.25">
      <c r="B60" s="5" t="s">
        <v>53</v>
      </c>
      <c r="C60" s="11">
        <v>0.15</v>
      </c>
      <c r="D60" s="12"/>
      <c r="E60" s="12"/>
      <c r="F60" s="12"/>
      <c r="G60" s="12"/>
    </row>
    <row r="61" spans="2:7" ht="18" customHeight="1" x14ac:dyDescent="0.25">
      <c r="B61" s="5" t="s">
        <v>54</v>
      </c>
      <c r="C61" s="11">
        <v>0.1</v>
      </c>
      <c r="D61" s="12"/>
      <c r="E61" s="12"/>
      <c r="F61" s="12"/>
      <c r="G61" s="12"/>
    </row>
    <row r="62" spans="2:7" ht="18" customHeight="1" x14ac:dyDescent="0.25">
      <c r="B62" s="5" t="s">
        <v>55</v>
      </c>
      <c r="C62" s="11">
        <v>0.1</v>
      </c>
      <c r="D62" s="12"/>
      <c r="E62" s="12"/>
      <c r="F62" s="12"/>
      <c r="G62" s="12"/>
    </row>
    <row r="63" spans="2:7" ht="18" customHeight="1" x14ac:dyDescent="0.25">
      <c r="B63" s="27" t="str">
        <f>IF(SUM(C50:C62)=1,"Gewichtung ergibt 100 % – passt.","Achtung: Gewichtung ergibt "&amp;TEXT(SUM(C50:C62),"0 %")&amp;". Bitte anpassen.")</f>
        <v>Gewichtung ergibt 100 % – passt.</v>
      </c>
      <c r="C63" s="21"/>
    </row>
    <row r="64" spans="2:7" ht="6" customHeight="1" x14ac:dyDescent="0.25"/>
    <row r="65" spans="1:7" ht="18" customHeight="1" x14ac:dyDescent="0.25">
      <c r="B65" s="32" t="s">
        <v>56</v>
      </c>
      <c r="C65" s="33"/>
      <c r="D65" s="13" t="str">
        <f>IF(COUNT(D50:D62)=0,"",COUNT(D50:D62)&amp;" von 11")</f>
        <v/>
      </c>
      <c r="E65" s="13" t="str">
        <f>IF(COUNT(E50:E62)=0,"",COUNT(E50:E62)&amp;" von 11")</f>
        <v/>
      </c>
      <c r="F65" s="13" t="str">
        <f>IF(COUNT(F50:F62)=0,"",COUNT(F50:F62)&amp;" von 11")</f>
        <v/>
      </c>
      <c r="G65" s="13" t="str">
        <f>IF(COUNT(G50:G62)=0,"",COUNT(G50:G62)&amp;" von 11")</f>
        <v/>
      </c>
    </row>
    <row r="66" spans="1:7" ht="9.9499999999999993" customHeight="1" x14ac:dyDescent="0.25"/>
    <row r="67" spans="1:7" ht="6.95" customHeight="1" x14ac:dyDescent="0.25"/>
    <row r="68" spans="1:7" ht="24" customHeight="1" x14ac:dyDescent="0.25">
      <c r="A68" s="3"/>
      <c r="B68" s="26" t="s">
        <v>57</v>
      </c>
      <c r="C68" s="19"/>
      <c r="D68" s="19"/>
      <c r="E68" s="19"/>
      <c r="F68" s="19"/>
      <c r="G68" s="19"/>
    </row>
    <row r="69" spans="1:7" ht="30" customHeight="1" x14ac:dyDescent="0.25">
      <c r="B69" s="31" t="s">
        <v>58</v>
      </c>
      <c r="C69" s="21"/>
      <c r="D69" s="7" t="str">
        <f>IF(D19="","Kandidat 1",D19)</f>
        <v>Kandidat 1</v>
      </c>
      <c r="E69" s="7" t="str">
        <f>IF(E19="","Kandidat 2",E19)</f>
        <v>Kandidat 2</v>
      </c>
      <c r="F69" s="7" t="str">
        <f>IF(F19="","Kandidat 3",F19)</f>
        <v>Kandidat 3</v>
      </c>
      <c r="G69" s="7" t="str">
        <f>IF(G19="","Kandidat 4",G19)</f>
        <v>Kandidat 4</v>
      </c>
    </row>
    <row r="70" spans="1:7" ht="32.1" customHeight="1" x14ac:dyDescent="0.25">
      <c r="A70" s="3"/>
      <c r="B70" s="34" t="s">
        <v>59</v>
      </c>
      <c r="C70" s="19"/>
      <c r="D70" s="14" t="str">
        <f>IF(COUNT(D50:D62)=0,"",SUMPRODUCT(D50:D62,$C$50:$C$62)/3)</f>
        <v/>
      </c>
      <c r="E70" s="14" t="str">
        <f>IF(COUNT(E50:E62)=0,"",SUMPRODUCT(E50:E62,$C$50:$C$62)/3)</f>
        <v/>
      </c>
      <c r="F70" s="14" t="str">
        <f>IF(COUNT(F50:F62)=0,"",SUMPRODUCT(F50:F62,$C$50:$C$62)/3)</f>
        <v/>
      </c>
      <c r="G70" s="14" t="str">
        <f>IF(COUNT(G50:G62)=0,"",SUMPRODUCT(G50:G62,$C$50:$C$62)/3)</f>
        <v/>
      </c>
    </row>
    <row r="71" spans="1:7" ht="18.95" customHeight="1" x14ac:dyDescent="0.25">
      <c r="B71" s="39" t="s">
        <v>60</v>
      </c>
      <c r="C71" s="33"/>
      <c r="D71" s="15" t="str">
        <f>IF(D70="","",RANK(D70,$D$70:$G$70))</f>
        <v/>
      </c>
      <c r="E71" s="15" t="str">
        <f>IF(E70="","",RANK(E70,$D$70:$G$70))</f>
        <v/>
      </c>
      <c r="F71" s="15" t="str">
        <f>IF(F70="","",RANK(F70,$D$70:$G$70))</f>
        <v/>
      </c>
      <c r="G71" s="15" t="str">
        <f>IF(G70="","",RANK(G70,$D$70:$G$70))</f>
        <v/>
      </c>
    </row>
    <row r="72" spans="1:7" ht="18.95" customHeight="1" x14ac:dyDescent="0.25">
      <c r="B72" s="40" t="s">
        <v>61</v>
      </c>
      <c r="C72" s="41"/>
      <c r="D72" s="16" t="str">
        <f>IF(D70="","",IF(ISNUMBER(SEARCH("nein",D43)),"nicht für den LOI",IF(ISNUMBER(SEARCH("offen",D43)),"Nachweise offen","")))</f>
        <v/>
      </c>
      <c r="E72" s="16" t="str">
        <f>IF(E70="","",IF(ISNUMBER(SEARCH("nein",E43)),"nicht für den LOI",IF(ISNUMBER(SEARCH("offen",E43)),"Nachweise offen","")))</f>
        <v/>
      </c>
      <c r="F72" s="16" t="str">
        <f>IF(F70="","",IF(ISNUMBER(SEARCH("nein",F43)),"nicht für den LOI",IF(ISNUMBER(SEARCH("offen",F43)),"Nachweise offen","")))</f>
        <v/>
      </c>
      <c r="G72" s="16" t="str">
        <f>IF(G70="","",IF(ISNUMBER(SEARCH("nein",G43)),"nicht für den LOI",IF(ISNUMBER(SEARCH("offen",G43)),"Nachweise offen","")))</f>
        <v/>
      </c>
    </row>
    <row r="73" spans="1:7" ht="18" customHeight="1" x14ac:dyDescent="0.25">
      <c r="B73" s="27" t="s">
        <v>62</v>
      </c>
      <c r="C73" s="21"/>
      <c r="D73" s="21"/>
      <c r="E73" s="21"/>
      <c r="F73" s="21"/>
      <c r="G73" s="21"/>
    </row>
    <row r="74" spans="1:7" ht="9.9499999999999993" customHeight="1" x14ac:dyDescent="0.25"/>
    <row r="75" spans="1:7" ht="6.95" customHeight="1" x14ac:dyDescent="0.25"/>
    <row r="76" spans="1:7" ht="24" customHeight="1" x14ac:dyDescent="0.25">
      <c r="A76" s="3"/>
      <c r="B76" s="26" t="s">
        <v>63</v>
      </c>
      <c r="C76" s="19"/>
      <c r="D76" s="19"/>
      <c r="E76" s="19"/>
      <c r="F76" s="19"/>
      <c r="G76" s="19"/>
    </row>
    <row r="77" spans="1:7" ht="42" customHeight="1" x14ac:dyDescent="0.25">
      <c r="B77" s="17" t="s">
        <v>64</v>
      </c>
      <c r="C77" s="30" t="s">
        <v>65</v>
      </c>
      <c r="D77" s="29"/>
      <c r="E77" s="29"/>
      <c r="F77" s="29"/>
      <c r="G77" s="29"/>
    </row>
    <row r="78" spans="1:7" ht="30" customHeight="1" x14ac:dyDescent="0.25">
      <c r="B78" s="17" t="s">
        <v>66</v>
      </c>
      <c r="C78" s="30" t="s">
        <v>67</v>
      </c>
      <c r="D78" s="29"/>
      <c r="E78" s="29"/>
      <c r="F78" s="29"/>
      <c r="G78" s="29"/>
    </row>
    <row r="79" spans="1:7" ht="42" customHeight="1" x14ac:dyDescent="0.25">
      <c r="B79" s="17" t="s">
        <v>68</v>
      </c>
      <c r="C79" s="30" t="s">
        <v>69</v>
      </c>
      <c r="D79" s="29"/>
      <c r="E79" s="29"/>
      <c r="F79" s="29"/>
      <c r="G79" s="29"/>
    </row>
    <row r="80" spans="1:7" ht="30" customHeight="1" x14ac:dyDescent="0.25">
      <c r="B80" s="17" t="s">
        <v>70</v>
      </c>
      <c r="C80" s="30" t="s">
        <v>71</v>
      </c>
      <c r="D80" s="29"/>
      <c r="E80" s="29"/>
      <c r="F80" s="29"/>
      <c r="G80" s="29"/>
    </row>
    <row r="81" spans="2:7" ht="30" customHeight="1" x14ac:dyDescent="0.25">
      <c r="B81" s="17" t="s">
        <v>72</v>
      </c>
      <c r="C81" s="30" t="s">
        <v>73</v>
      </c>
      <c r="D81" s="29"/>
      <c r="E81" s="29"/>
      <c r="F81" s="29"/>
      <c r="G81" s="29"/>
    </row>
    <row r="82" spans="2:7" ht="12" customHeight="1" x14ac:dyDescent="0.25"/>
    <row r="83" spans="2:7" ht="27.75" customHeight="1" x14ac:dyDescent="0.25">
      <c r="B83" s="28" t="s">
        <v>74</v>
      </c>
      <c r="C83" s="29"/>
      <c r="D83" s="29"/>
      <c r="E83" s="29"/>
      <c r="F83" s="29"/>
      <c r="G83" s="29"/>
    </row>
  </sheetData>
  <mergeCells count="54">
    <mergeCell ref="C78:G78"/>
    <mergeCell ref="B73:G73"/>
    <mergeCell ref="B13:G13"/>
    <mergeCell ref="B31:C31"/>
    <mergeCell ref="B27:C27"/>
    <mergeCell ref="B18:C18"/>
    <mergeCell ref="B71:C71"/>
    <mergeCell ref="B43:C43"/>
    <mergeCell ref="B35:G35"/>
    <mergeCell ref="B26:G26"/>
    <mergeCell ref="B25:G25"/>
    <mergeCell ref="C77:G77"/>
    <mergeCell ref="B72:C72"/>
    <mergeCell ref="B14:G14"/>
    <mergeCell ref="B17:G17"/>
    <mergeCell ref="E2:G2"/>
    <mergeCell ref="B10:G10"/>
    <mergeCell ref="B21:C21"/>
    <mergeCell ref="B9:G9"/>
    <mergeCell ref="B42:C42"/>
    <mergeCell ref="B29:C29"/>
    <mergeCell ref="B36:G36"/>
    <mergeCell ref="B19:C19"/>
    <mergeCell ref="B37:C37"/>
    <mergeCell ref="B28:C28"/>
    <mergeCell ref="B32:G32"/>
    <mergeCell ref="B4:G4"/>
    <mergeCell ref="B8:G8"/>
    <mergeCell ref="B83:G83"/>
    <mergeCell ref="B68:G68"/>
    <mergeCell ref="C80:G80"/>
    <mergeCell ref="B69:C69"/>
    <mergeCell ref="B38:C38"/>
    <mergeCell ref="B76:G76"/>
    <mergeCell ref="B48"/>
    <mergeCell ref="B40:C40"/>
    <mergeCell ref="B65:C65"/>
    <mergeCell ref="B59:G59"/>
    <mergeCell ref="C81:G81"/>
    <mergeCell ref="B63:C63"/>
    <mergeCell ref="C79:G79"/>
    <mergeCell ref="B39:C39"/>
    <mergeCell ref="B70:C70"/>
    <mergeCell ref="B49:G49"/>
    <mergeCell ref="B3:G3"/>
    <mergeCell ref="B47:G47"/>
    <mergeCell ref="B54:G54"/>
    <mergeCell ref="B30:C30"/>
    <mergeCell ref="B46:G46"/>
    <mergeCell ref="B22:G22"/>
    <mergeCell ref="B20:C20"/>
    <mergeCell ref="B12:G12"/>
    <mergeCell ref="B41:C41"/>
    <mergeCell ref="B11:G11"/>
  </mergeCells>
  <dataValidations count="4">
    <dataValidation type="list" allowBlank="1" sqref="D20:G20" xr:uid="{00000000-0002-0000-0000-000000000000}">
      <formula1>"Privatperson / MBI,Strategischer Käufer,Finanzinvestor,Nachfolger aus dem Umfeld"</formula1>
    </dataValidation>
    <dataValidation type="list" allowBlank="1" sqref="D29:G29" xr:uid="{00000000-0002-0000-0000-000001000000}">
      <formula1>"Unternehmenswert (cash and debt free),Auszahlung an dich"</formula1>
    </dataValidation>
    <dataValidation type="list" allowBlank="1" sqref="D38:G42" xr:uid="{00000000-0002-0000-0000-000002000000}">
      <formula1>"ja,nein,offen"</formula1>
    </dataValidation>
    <dataValidation type="list" allowBlank="1" sqref="D50:G53 D55:G58 D60:G62" xr:uid="{00000000-0002-0000-0000-000003000000}">
      <formula1>"0,1,2,3"</formula1>
    </dataValidation>
  </dataValidations>
  <printOptions horizontalCentered="1"/>
  <pageMargins left="0.4" right="0.4" top="0.4" bottom="0.4"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E7A1E"/>
    <pageSetUpPr fitToPage="1"/>
  </sheetPr>
  <dimension ref="A1:H76"/>
  <sheetViews>
    <sheetView showGridLines="0" workbookViewId="0"/>
  </sheetViews>
  <sheetFormatPr baseColWidth="10" defaultColWidth="9.140625" defaultRowHeight="15" x14ac:dyDescent="0.25"/>
  <cols>
    <col min="1" max="1" width="2.140625" customWidth="1"/>
    <col min="2" max="2" width="58" customWidth="1"/>
    <col min="3" max="3" width="13" customWidth="1"/>
    <col min="4" max="7" width="17" customWidth="1"/>
    <col min="8" max="8" width="2.140625" customWidth="1"/>
    <col min="26" max="26" width="9.140625" customWidth="1"/>
  </cols>
  <sheetData>
    <row r="1" spans="1:8" ht="6" customHeight="1" x14ac:dyDescent="0.25">
      <c r="A1" s="1"/>
      <c r="B1" s="1"/>
      <c r="C1" s="1"/>
      <c r="D1" s="1"/>
      <c r="E1" s="1"/>
      <c r="F1" s="1"/>
      <c r="G1" s="1"/>
      <c r="H1" s="1"/>
    </row>
    <row r="2" spans="1:8" ht="18" customHeight="1" x14ac:dyDescent="0.25">
      <c r="A2" s="1"/>
      <c r="B2" s="2" t="s">
        <v>0</v>
      </c>
      <c r="C2" s="1"/>
      <c r="D2" s="1"/>
      <c r="E2" s="35" t="s">
        <v>1</v>
      </c>
      <c r="F2" s="19"/>
      <c r="G2" s="19"/>
      <c r="H2" s="1"/>
    </row>
    <row r="3" spans="1:8" ht="30" customHeight="1" x14ac:dyDescent="0.25">
      <c r="A3" s="1"/>
      <c r="B3" s="18" t="s">
        <v>75</v>
      </c>
      <c r="C3" s="19"/>
      <c r="D3" s="19"/>
      <c r="E3" s="19"/>
      <c r="F3" s="19"/>
      <c r="G3" s="19"/>
      <c r="H3" s="1"/>
    </row>
    <row r="4" spans="1:8" ht="18.95" customHeight="1" x14ac:dyDescent="0.25">
      <c r="A4" s="1"/>
      <c r="B4" s="36" t="s">
        <v>3</v>
      </c>
      <c r="C4" s="19"/>
      <c r="D4" s="19"/>
      <c r="E4" s="19"/>
      <c r="F4" s="19"/>
      <c r="G4" s="19"/>
      <c r="H4" s="1"/>
    </row>
    <row r="5" spans="1:8" ht="8.1" customHeight="1" x14ac:dyDescent="0.25">
      <c r="A5" s="1"/>
      <c r="B5" s="1"/>
      <c r="C5" s="1"/>
      <c r="D5" s="1"/>
      <c r="E5" s="1"/>
      <c r="F5" s="1"/>
      <c r="G5" s="1"/>
      <c r="H5" s="1"/>
    </row>
    <row r="6" spans="1:8" ht="9.9499999999999993" customHeight="1" x14ac:dyDescent="0.25"/>
    <row r="7" spans="1:8" ht="30" customHeight="1" x14ac:dyDescent="0.25">
      <c r="B7" s="42" t="s">
        <v>76</v>
      </c>
      <c r="C7" s="23"/>
      <c r="D7" s="23"/>
      <c r="E7" s="23"/>
      <c r="F7" s="23"/>
      <c r="G7" s="23"/>
    </row>
    <row r="8" spans="1:8" ht="9.9499999999999993" customHeight="1" x14ac:dyDescent="0.25"/>
    <row r="9" spans="1:8" ht="6.95" customHeight="1" x14ac:dyDescent="0.25"/>
    <row r="10" spans="1:8" ht="24" customHeight="1" x14ac:dyDescent="0.25">
      <c r="A10" s="3"/>
      <c r="B10" s="26" t="s">
        <v>11</v>
      </c>
      <c r="C10" s="19"/>
      <c r="D10" s="19"/>
      <c r="E10" s="19"/>
      <c r="F10" s="19"/>
      <c r="G10" s="19"/>
    </row>
    <row r="11" spans="1:8" ht="20.100000000000001" customHeight="1" x14ac:dyDescent="0.25">
      <c r="B11" s="31" t="s">
        <v>12</v>
      </c>
      <c r="C11" s="21"/>
      <c r="D11" s="4" t="s">
        <v>13</v>
      </c>
      <c r="E11" s="4" t="s">
        <v>14</v>
      </c>
      <c r="F11" s="4" t="s">
        <v>15</v>
      </c>
      <c r="G11" s="4" t="s">
        <v>16</v>
      </c>
    </row>
    <row r="12" spans="1:8" ht="31.5" customHeight="1" x14ac:dyDescent="0.25">
      <c r="B12" s="24" t="s">
        <v>17</v>
      </c>
      <c r="C12" s="25"/>
      <c r="D12" s="6" t="s">
        <v>77</v>
      </c>
      <c r="E12" s="6" t="s">
        <v>78</v>
      </c>
      <c r="F12" s="6" t="s">
        <v>79</v>
      </c>
      <c r="G12" s="6"/>
    </row>
    <row r="13" spans="1:8" ht="31.5" customHeight="1" x14ac:dyDescent="0.25">
      <c r="B13" s="24" t="s">
        <v>18</v>
      </c>
      <c r="C13" s="25"/>
      <c r="D13" s="6" t="s">
        <v>80</v>
      </c>
      <c r="E13" s="6" t="s">
        <v>81</v>
      </c>
      <c r="F13" s="6" t="s">
        <v>80</v>
      </c>
      <c r="G13" s="6"/>
    </row>
    <row r="14" spans="1:8" ht="18" customHeight="1" x14ac:dyDescent="0.25">
      <c r="B14" s="24" t="s">
        <v>19</v>
      </c>
      <c r="C14" s="25"/>
      <c r="D14" s="6" t="s">
        <v>82</v>
      </c>
      <c r="E14" s="6" t="s">
        <v>83</v>
      </c>
      <c r="F14" s="6" t="s">
        <v>84</v>
      </c>
      <c r="G14" s="6"/>
    </row>
    <row r="15" spans="1:8" ht="29.25" customHeight="1" x14ac:dyDescent="0.25">
      <c r="B15" s="27" t="s">
        <v>20</v>
      </c>
      <c r="C15" s="21"/>
      <c r="D15" s="21"/>
      <c r="E15" s="21"/>
      <c r="F15" s="21"/>
      <c r="G15" s="21"/>
    </row>
    <row r="16" spans="1:8" ht="9.9499999999999993" customHeight="1" x14ac:dyDescent="0.25"/>
    <row r="17" spans="1:7" ht="6.95" customHeight="1" x14ac:dyDescent="0.25"/>
    <row r="18" spans="1:7" ht="24" customHeight="1" x14ac:dyDescent="0.25">
      <c r="A18" s="3"/>
      <c r="B18" s="26" t="s">
        <v>21</v>
      </c>
      <c r="C18" s="19"/>
      <c r="D18" s="19"/>
      <c r="E18" s="19"/>
      <c r="F18" s="19"/>
      <c r="G18" s="19"/>
    </row>
    <row r="19" spans="1:7" ht="29.25" customHeight="1" x14ac:dyDescent="0.25">
      <c r="B19" s="20" t="s">
        <v>22</v>
      </c>
      <c r="C19" s="21"/>
      <c r="D19" s="21"/>
      <c r="E19" s="21"/>
      <c r="F19" s="21"/>
      <c r="G19" s="21"/>
    </row>
    <row r="20" spans="1:7" ht="30" customHeight="1" x14ac:dyDescent="0.25">
      <c r="B20" s="31" t="s">
        <v>23</v>
      </c>
      <c r="C20" s="21"/>
      <c r="D20" s="7" t="str">
        <f>IF(D12="","Kandidat 1",D12)</f>
        <v>M. Brandt</v>
      </c>
      <c r="E20" s="7" t="str">
        <f>IF(E12="","Kandidat 2",E12)</f>
        <v>Nordbau Gruppe GmbH</v>
      </c>
      <c r="F20" s="7" t="str">
        <f>IF(F12="","Kandidat 3",F12)</f>
        <v>K. Reimers</v>
      </c>
      <c r="G20" s="7" t="str">
        <f>IF(G12="","Kandidat 4",G12)</f>
        <v>Kandidat 4</v>
      </c>
    </row>
    <row r="21" spans="1:7" ht="18" customHeight="1" x14ac:dyDescent="0.25">
      <c r="B21" s="24" t="s">
        <v>24</v>
      </c>
      <c r="C21" s="25"/>
      <c r="D21" s="8">
        <v>780000</v>
      </c>
      <c r="E21" s="8">
        <v>820000</v>
      </c>
      <c r="F21" s="8">
        <v>900000</v>
      </c>
      <c r="G21" s="8"/>
    </row>
    <row r="22" spans="1:7" ht="45.75" customHeight="1" x14ac:dyDescent="0.25">
      <c r="B22" s="24" t="s">
        <v>25</v>
      </c>
      <c r="C22" s="25"/>
      <c r="D22" s="6" t="s">
        <v>85</v>
      </c>
      <c r="E22" s="6" t="s">
        <v>85</v>
      </c>
      <c r="F22" s="6" t="s">
        <v>85</v>
      </c>
      <c r="G22" s="6"/>
    </row>
    <row r="23" spans="1:7" ht="18" customHeight="1" x14ac:dyDescent="0.25">
      <c r="B23" s="24" t="s">
        <v>26</v>
      </c>
      <c r="C23" s="25"/>
      <c r="D23" s="8">
        <v>550000</v>
      </c>
      <c r="E23" s="8">
        <v>780000</v>
      </c>
      <c r="F23" s="8">
        <v>450000</v>
      </c>
      <c r="G23" s="8"/>
    </row>
    <row r="24" spans="1:7" ht="21" customHeight="1" x14ac:dyDescent="0.25">
      <c r="B24" s="37" t="s">
        <v>27</v>
      </c>
      <c r="C24" s="38"/>
      <c r="D24" s="9">
        <f>IFERROR(D23/D21,"")</f>
        <v>0.70512820512820518</v>
      </c>
      <c r="E24" s="9">
        <f>IFERROR(E23/E21,"")</f>
        <v>0.95121951219512191</v>
      </c>
      <c r="F24" s="9">
        <f>IFERROR(F23/F21,"")</f>
        <v>0.5</v>
      </c>
      <c r="G24" s="9" t="str">
        <f>IFERROR(G23/G21,"")</f>
        <v/>
      </c>
    </row>
    <row r="25" spans="1:7" ht="29.25" customHeight="1" x14ac:dyDescent="0.25">
      <c r="B25" s="27" t="s">
        <v>28</v>
      </c>
      <c r="C25" s="21"/>
      <c r="D25" s="21"/>
      <c r="E25" s="21"/>
      <c r="F25" s="21"/>
      <c r="G25" s="21"/>
    </row>
    <row r="26" spans="1:7" ht="9.9499999999999993" customHeight="1" x14ac:dyDescent="0.25"/>
    <row r="27" spans="1:7" ht="6.95" customHeight="1" x14ac:dyDescent="0.25"/>
    <row r="28" spans="1:7" ht="24" customHeight="1" x14ac:dyDescent="0.25">
      <c r="A28" s="3"/>
      <c r="B28" s="26" t="s">
        <v>29</v>
      </c>
      <c r="C28" s="19"/>
      <c r="D28" s="19"/>
      <c r="E28" s="19"/>
      <c r="F28" s="19"/>
      <c r="G28" s="19"/>
    </row>
    <row r="29" spans="1:7" ht="18" customHeight="1" x14ac:dyDescent="0.25">
      <c r="B29" s="20" t="s">
        <v>30</v>
      </c>
      <c r="C29" s="21"/>
      <c r="D29" s="21"/>
      <c r="E29" s="21"/>
      <c r="F29" s="21"/>
      <c r="G29" s="21"/>
    </row>
    <row r="30" spans="1:7" ht="30" customHeight="1" x14ac:dyDescent="0.25">
      <c r="B30" s="31" t="s">
        <v>31</v>
      </c>
      <c r="C30" s="21"/>
      <c r="D30" s="7" t="str">
        <f>IF(D12="","Kandidat 1",D12)</f>
        <v>M. Brandt</v>
      </c>
      <c r="E30" s="7" t="str">
        <f>IF(E12="","Kandidat 2",E12)</f>
        <v>Nordbau Gruppe GmbH</v>
      </c>
      <c r="F30" s="7" t="str">
        <f>IF(F12="","Kandidat 3",F12)</f>
        <v>K. Reimers</v>
      </c>
      <c r="G30" s="7" t="str">
        <f>IF(G12="","Kandidat 4",G12)</f>
        <v>Kandidat 4</v>
      </c>
    </row>
    <row r="31" spans="1:7" ht="18" customHeight="1" x14ac:dyDescent="0.25">
      <c r="B31" s="24" t="s">
        <v>32</v>
      </c>
      <c r="C31" s="25"/>
      <c r="D31" s="6" t="s">
        <v>86</v>
      </c>
      <c r="E31" s="6" t="s">
        <v>86</v>
      </c>
      <c r="F31" s="6" t="s">
        <v>86</v>
      </c>
      <c r="G31" s="6"/>
    </row>
    <row r="32" spans="1:7" ht="18" customHeight="1" x14ac:dyDescent="0.25">
      <c r="B32" s="24" t="s">
        <v>33</v>
      </c>
      <c r="C32" s="25"/>
      <c r="D32" s="6" t="s">
        <v>86</v>
      </c>
      <c r="E32" s="6" t="s">
        <v>86</v>
      </c>
      <c r="F32" s="6" t="s">
        <v>86</v>
      </c>
      <c r="G32" s="6"/>
    </row>
    <row r="33" spans="1:7" ht="18" customHeight="1" x14ac:dyDescent="0.25">
      <c r="B33" s="24" t="s">
        <v>34</v>
      </c>
      <c r="C33" s="25"/>
      <c r="D33" s="6" t="s">
        <v>86</v>
      </c>
      <c r="E33" s="6" t="s">
        <v>86</v>
      </c>
      <c r="F33" s="6" t="s">
        <v>87</v>
      </c>
      <c r="G33" s="6"/>
    </row>
    <row r="34" spans="1:7" ht="18" customHeight="1" x14ac:dyDescent="0.25">
      <c r="B34" s="24" t="s">
        <v>35</v>
      </c>
      <c r="C34" s="25"/>
      <c r="D34" s="6" t="s">
        <v>86</v>
      </c>
      <c r="E34" s="6" t="s">
        <v>86</v>
      </c>
      <c r="F34" s="6" t="s">
        <v>86</v>
      </c>
      <c r="G34" s="6"/>
    </row>
    <row r="35" spans="1:7" ht="18" customHeight="1" x14ac:dyDescent="0.25">
      <c r="B35" s="24" t="s">
        <v>36</v>
      </c>
      <c r="C35" s="25"/>
      <c r="D35" s="6" t="s">
        <v>86</v>
      </c>
      <c r="E35" s="6" t="s">
        <v>86</v>
      </c>
      <c r="F35" s="6" t="s">
        <v>88</v>
      </c>
      <c r="G35" s="6"/>
    </row>
    <row r="36" spans="1:7" ht="21" customHeight="1" x14ac:dyDescent="0.25">
      <c r="B36" s="37" t="s">
        <v>37</v>
      </c>
      <c r="C36" s="38"/>
      <c r="D36" s="10" t="str">
        <f>IF(COUNTA(D31:D35)=0,"",IF(COUNTIF(D31:D35,"nein")&gt;0,COUNTIF(D31:D35,"nein")&amp;"× nein",IF(COUNTIF(D31:D35,"ja")=5,"alle erfüllt",COUNTIF(D31:D35,"offen")&amp;"× offen")))</f>
        <v>alle erfüllt</v>
      </c>
      <c r="E36" s="10" t="str">
        <f>IF(COUNTA(E31:E35)=0,"",IF(COUNTIF(E31:E35,"nein")&gt;0,COUNTIF(E31:E35,"nein")&amp;"× nein",IF(COUNTIF(E31:E35,"ja")=5,"alle erfüllt",COUNTIF(E31:E35,"offen")&amp;"× offen")))</f>
        <v>alle erfüllt</v>
      </c>
      <c r="F36" s="10" t="str">
        <f>IF(COUNTA(F31:F35)=0,"",IF(COUNTIF(F31:F35,"nein")&gt;0,COUNTIF(F31:F35,"nein")&amp;"× nein",IF(COUNTIF(F31:F35,"ja")=5,"alle erfüllt",COUNTIF(F31:F35,"offen")&amp;"× offen")))</f>
        <v>1× nein</v>
      </c>
      <c r="G36" s="10" t="str">
        <f>IF(COUNTA(G31:G35)=0,"",IF(COUNTIF(G31:G35,"nein")&gt;0,COUNTIF(G31:G35,"nein")&amp;"× nein",IF(COUNTIF(G31:G35,"ja")=5,"alle erfüllt",COUNTIF(G31:G35,"offen")&amp;"× offen")))</f>
        <v/>
      </c>
    </row>
    <row r="37" spans="1:7" ht="9.9499999999999993" customHeight="1" x14ac:dyDescent="0.25"/>
    <row r="38" spans="1:7" ht="6.95" customHeight="1" x14ac:dyDescent="0.25"/>
    <row r="39" spans="1:7" ht="24" customHeight="1" x14ac:dyDescent="0.25">
      <c r="A39" s="3"/>
      <c r="B39" s="26" t="s">
        <v>38</v>
      </c>
      <c r="C39" s="19"/>
      <c r="D39" s="19"/>
      <c r="E39" s="19"/>
      <c r="F39" s="19"/>
      <c r="G39" s="19"/>
    </row>
    <row r="40" spans="1:7" ht="18" customHeight="1" x14ac:dyDescent="0.25">
      <c r="B40" s="20" t="s">
        <v>39</v>
      </c>
      <c r="C40" s="21"/>
      <c r="D40" s="21"/>
      <c r="E40" s="21"/>
      <c r="F40" s="21"/>
      <c r="G40" s="21"/>
    </row>
    <row r="41" spans="1:7" ht="30" customHeight="1" x14ac:dyDescent="0.25">
      <c r="B41" s="31" t="s">
        <v>40</v>
      </c>
      <c r="C41" s="4" t="s">
        <v>41</v>
      </c>
      <c r="D41" s="7" t="str">
        <f>IF(D12="","Kandidat 1",D12)</f>
        <v>M. Brandt</v>
      </c>
      <c r="E41" s="7" t="str">
        <f>IF(E12="","Kandidat 2",E12)</f>
        <v>Nordbau Gruppe GmbH</v>
      </c>
      <c r="F41" s="7" t="str">
        <f>IF(F12="","Kandidat 3",F12)</f>
        <v>K. Reimers</v>
      </c>
      <c r="G41" s="7" t="str">
        <f>IF(G12="","Kandidat 4",G12)</f>
        <v>Kandidat 4</v>
      </c>
    </row>
    <row r="42" spans="1:7" ht="18.95" customHeight="1" x14ac:dyDescent="0.25">
      <c r="B42" s="22" t="s">
        <v>42</v>
      </c>
      <c r="C42" s="23"/>
      <c r="D42" s="23"/>
      <c r="E42" s="23"/>
      <c r="F42" s="23"/>
      <c r="G42" s="23"/>
    </row>
    <row r="43" spans="1:7" ht="18" customHeight="1" x14ac:dyDescent="0.25">
      <c r="B43" s="5" t="s">
        <v>43</v>
      </c>
      <c r="C43" s="11">
        <v>0.05</v>
      </c>
      <c r="D43" s="12">
        <v>3</v>
      </c>
      <c r="E43" s="12">
        <v>3</v>
      </c>
      <c r="F43" s="12">
        <v>2</v>
      </c>
      <c r="G43" s="12"/>
    </row>
    <row r="44" spans="1:7" ht="18" customHeight="1" x14ac:dyDescent="0.25">
      <c r="B44" s="5" t="s">
        <v>44</v>
      </c>
      <c r="C44" s="11">
        <v>0.05</v>
      </c>
      <c r="D44" s="12">
        <v>3</v>
      </c>
      <c r="E44" s="12">
        <v>3</v>
      </c>
      <c r="F44" s="12">
        <v>2</v>
      </c>
      <c r="G44" s="12"/>
    </row>
    <row r="45" spans="1:7" ht="31.5" customHeight="1" x14ac:dyDescent="0.25">
      <c r="B45" s="5" t="s">
        <v>45</v>
      </c>
      <c r="C45" s="11">
        <v>0.1</v>
      </c>
      <c r="D45" s="12">
        <v>3</v>
      </c>
      <c r="E45" s="12">
        <v>2</v>
      </c>
      <c r="F45" s="12">
        <v>2</v>
      </c>
      <c r="G45" s="12"/>
    </row>
    <row r="46" spans="1:7" ht="18" customHeight="1" x14ac:dyDescent="0.25">
      <c r="B46" s="5" t="s">
        <v>46</v>
      </c>
      <c r="C46" s="11">
        <v>0.05</v>
      </c>
      <c r="D46" s="12">
        <v>2</v>
      </c>
      <c r="E46" s="12">
        <v>3</v>
      </c>
      <c r="F46" s="12">
        <v>1</v>
      </c>
      <c r="G46" s="12"/>
    </row>
    <row r="47" spans="1:7" ht="18.95" customHeight="1" x14ac:dyDescent="0.25">
      <c r="B47" s="22" t="s">
        <v>47</v>
      </c>
      <c r="C47" s="23"/>
      <c r="D47" s="23"/>
      <c r="E47" s="23"/>
      <c r="F47" s="23"/>
      <c r="G47" s="23"/>
    </row>
    <row r="48" spans="1:7" ht="31.5" customHeight="1" x14ac:dyDescent="0.25">
      <c r="B48" s="5" t="s">
        <v>48</v>
      </c>
      <c r="C48" s="11">
        <v>0.15</v>
      </c>
      <c r="D48" s="12">
        <v>2</v>
      </c>
      <c r="E48" s="12">
        <v>3</v>
      </c>
      <c r="F48" s="12">
        <v>3</v>
      </c>
      <c r="G48" s="12"/>
    </row>
    <row r="49" spans="1:7" ht="18" customHeight="1" x14ac:dyDescent="0.25">
      <c r="B49" s="5" t="s">
        <v>49</v>
      </c>
      <c r="C49" s="11">
        <v>0.15</v>
      </c>
      <c r="D49" s="12">
        <v>2</v>
      </c>
      <c r="E49" s="12">
        <v>3</v>
      </c>
      <c r="F49" s="12">
        <v>1</v>
      </c>
      <c r="G49" s="12"/>
    </row>
    <row r="50" spans="1:7" ht="31.5" customHeight="1" x14ac:dyDescent="0.25">
      <c r="B50" s="5" t="s">
        <v>50</v>
      </c>
      <c r="C50" s="11">
        <v>0.05</v>
      </c>
      <c r="D50" s="12">
        <v>2</v>
      </c>
      <c r="E50" s="12">
        <v>2</v>
      </c>
      <c r="F50" s="12">
        <v>1</v>
      </c>
      <c r="G50" s="12"/>
    </row>
    <row r="51" spans="1:7" ht="31.5" customHeight="1" x14ac:dyDescent="0.25">
      <c r="B51" s="5" t="s">
        <v>51</v>
      </c>
      <c r="C51" s="11">
        <v>0.05</v>
      </c>
      <c r="D51" s="12">
        <v>3</v>
      </c>
      <c r="E51" s="12">
        <v>3</v>
      </c>
      <c r="F51" s="12">
        <v>1</v>
      </c>
      <c r="G51" s="12"/>
    </row>
    <row r="52" spans="1:7" ht="18.95" customHeight="1" x14ac:dyDescent="0.25">
      <c r="B52" s="22" t="s">
        <v>52</v>
      </c>
      <c r="C52" s="23"/>
      <c r="D52" s="23"/>
      <c r="E52" s="23"/>
      <c r="F52" s="23"/>
      <c r="G52" s="23"/>
    </row>
    <row r="53" spans="1:7" ht="18" customHeight="1" x14ac:dyDescent="0.25">
      <c r="B53" s="5" t="s">
        <v>53</v>
      </c>
      <c r="C53" s="11">
        <v>0.15</v>
      </c>
      <c r="D53" s="12">
        <v>2</v>
      </c>
      <c r="E53" s="12">
        <v>3</v>
      </c>
      <c r="F53" s="12">
        <v>1</v>
      </c>
      <c r="G53" s="12"/>
    </row>
    <row r="54" spans="1:7" ht="18" customHeight="1" x14ac:dyDescent="0.25">
      <c r="B54" s="5" t="s">
        <v>54</v>
      </c>
      <c r="C54" s="11">
        <v>0.1</v>
      </c>
      <c r="D54" s="12">
        <v>2</v>
      </c>
      <c r="E54" s="12">
        <v>3</v>
      </c>
      <c r="F54" s="12">
        <v>1</v>
      </c>
      <c r="G54" s="12"/>
    </row>
    <row r="55" spans="1:7" ht="18" customHeight="1" x14ac:dyDescent="0.25">
      <c r="B55" s="5" t="s">
        <v>55</v>
      </c>
      <c r="C55" s="11">
        <v>0.1</v>
      </c>
      <c r="D55" s="12">
        <v>3</v>
      </c>
      <c r="E55" s="12">
        <v>3</v>
      </c>
      <c r="F55" s="12">
        <v>1</v>
      </c>
      <c r="G55" s="12"/>
    </row>
    <row r="56" spans="1:7" ht="18" customHeight="1" x14ac:dyDescent="0.25">
      <c r="B56" s="27" t="str">
        <f>IF(SUM(C43:C55)=1,"Gewichtung ergibt 100 % – passt.","Achtung: Gewichtung ergibt "&amp;TEXT(SUM(C43:C55),"0 %")&amp;". Bitte anpassen.")</f>
        <v>Gewichtung ergibt 100 % – passt.</v>
      </c>
      <c r="C56" s="21"/>
    </row>
    <row r="57" spans="1:7" ht="6" customHeight="1" x14ac:dyDescent="0.25"/>
    <row r="58" spans="1:7" ht="18" customHeight="1" x14ac:dyDescent="0.25">
      <c r="B58" s="32" t="s">
        <v>56</v>
      </c>
      <c r="C58" s="33"/>
      <c r="D58" s="13" t="str">
        <f>IF(COUNT(D43:D55)=0,"",COUNT(D43:D55)&amp;" von 11")</f>
        <v>11 von 11</v>
      </c>
      <c r="E58" s="13" t="str">
        <f>IF(COUNT(E43:E55)=0,"",COUNT(E43:E55)&amp;" von 11")</f>
        <v>11 von 11</v>
      </c>
      <c r="F58" s="13" t="str">
        <f>IF(COUNT(F43:F55)=0,"",COUNT(F43:F55)&amp;" von 11")</f>
        <v>11 von 11</v>
      </c>
      <c r="G58" s="13" t="str">
        <f>IF(COUNT(G43:G55)=0,"",COUNT(G43:G55)&amp;" von 11")</f>
        <v/>
      </c>
    </row>
    <row r="59" spans="1:7" ht="9.9499999999999993" customHeight="1" x14ac:dyDescent="0.25"/>
    <row r="60" spans="1:7" ht="6.95" customHeight="1" x14ac:dyDescent="0.25"/>
    <row r="61" spans="1:7" ht="24" customHeight="1" x14ac:dyDescent="0.25">
      <c r="A61" s="3"/>
      <c r="B61" s="26" t="s">
        <v>57</v>
      </c>
      <c r="C61" s="19"/>
      <c r="D61" s="19"/>
      <c r="E61" s="19"/>
      <c r="F61" s="19"/>
      <c r="G61" s="19"/>
    </row>
    <row r="62" spans="1:7" ht="30" customHeight="1" x14ac:dyDescent="0.25">
      <c r="B62" s="31" t="s">
        <v>58</v>
      </c>
      <c r="C62" s="21"/>
      <c r="D62" s="7" t="str">
        <f>IF(D12="","Kandidat 1",D12)</f>
        <v>M. Brandt</v>
      </c>
      <c r="E62" s="7" t="str">
        <f>IF(E12="","Kandidat 2",E12)</f>
        <v>Nordbau Gruppe GmbH</v>
      </c>
      <c r="F62" s="7" t="str">
        <f>IF(F12="","Kandidat 3",F12)</f>
        <v>K. Reimers</v>
      </c>
      <c r="G62" s="7" t="str">
        <f>IF(G12="","Kandidat 4",G12)</f>
        <v>Kandidat 4</v>
      </c>
    </row>
    <row r="63" spans="1:7" ht="32.1" customHeight="1" x14ac:dyDescent="0.25">
      <c r="A63" s="3"/>
      <c r="B63" s="34" t="s">
        <v>59</v>
      </c>
      <c r="C63" s="19"/>
      <c r="D63" s="14">
        <f>IF(COUNT(D43:D55)=0,"",SUMPRODUCT(D43:D55,$C$43:$C$55)/3)</f>
        <v>0.78333333333333355</v>
      </c>
      <c r="E63" s="14">
        <f>IF(COUNT(E43:E55)=0,"",SUMPRODUCT(E43:E55,$C$43:$C$55)/3)</f>
        <v>0.94999999999999984</v>
      </c>
      <c r="F63" s="14">
        <f>IF(COUNT(F43:F55)=0,"",SUMPRODUCT(F43:F55,$C$43:$C$55)/3)</f>
        <v>0.5</v>
      </c>
      <c r="G63" s="14" t="str">
        <f>IF(COUNT(G43:G55)=0,"",SUMPRODUCT(G43:G55,$C$43:$C$55)/3)</f>
        <v/>
      </c>
    </row>
    <row r="64" spans="1:7" ht="18.95" customHeight="1" x14ac:dyDescent="0.25">
      <c r="B64" s="39" t="s">
        <v>60</v>
      </c>
      <c r="C64" s="33"/>
      <c r="D64" s="15">
        <f>IF(D63="","",RANK(D63,$D$63:$G$63))</f>
        <v>2</v>
      </c>
      <c r="E64" s="15">
        <f>IF(E63="","",RANK(E63,$D$63:$G$63))</f>
        <v>1</v>
      </c>
      <c r="F64" s="15">
        <f>IF(F63="","",RANK(F63,$D$63:$G$63))</f>
        <v>3</v>
      </c>
      <c r="G64" s="15" t="str">
        <f>IF(G63="","",RANK(G63,$D$63:$G$63))</f>
        <v/>
      </c>
    </row>
    <row r="65" spans="1:7" ht="18.95" customHeight="1" x14ac:dyDescent="0.25">
      <c r="B65" s="40" t="s">
        <v>61</v>
      </c>
      <c r="C65" s="41"/>
      <c r="D65" s="16" t="str">
        <f>IF(D63="","",IF(ISNUMBER(SEARCH("nein",D36)),"nicht für den LOI",IF(ISNUMBER(SEARCH("offen",D36)),"Nachweise offen","")))</f>
        <v/>
      </c>
      <c r="E65" s="16" t="str">
        <f>IF(E63="","",IF(ISNUMBER(SEARCH("nein",E36)),"nicht für den LOI",IF(ISNUMBER(SEARCH("offen",E36)),"Nachweise offen","")))</f>
        <v/>
      </c>
      <c r="F65" s="16" t="str">
        <f>IF(F63="","",IF(ISNUMBER(SEARCH("nein",F36)),"nicht für den LOI",IF(ISNUMBER(SEARCH("offen",F36)),"Nachweise offen","")))</f>
        <v>nicht für den LOI</v>
      </c>
      <c r="G65" s="16" t="str">
        <f>IF(G63="","",IF(ISNUMBER(SEARCH("nein",G36)),"nicht für den LOI",IF(ISNUMBER(SEARCH("offen",G36)),"Nachweise offen","")))</f>
        <v/>
      </c>
    </row>
    <row r="66" spans="1:7" ht="18" customHeight="1" x14ac:dyDescent="0.25">
      <c r="B66" s="27" t="s">
        <v>62</v>
      </c>
      <c r="C66" s="21"/>
      <c r="D66" s="21"/>
      <c r="E66" s="21"/>
      <c r="F66" s="21"/>
      <c r="G66" s="21"/>
    </row>
    <row r="67" spans="1:7" ht="9.9499999999999993" customHeight="1" x14ac:dyDescent="0.25"/>
    <row r="68" spans="1:7" ht="6.95" customHeight="1" x14ac:dyDescent="0.25"/>
    <row r="69" spans="1:7" ht="24" customHeight="1" x14ac:dyDescent="0.25">
      <c r="A69" s="3"/>
      <c r="B69" s="26" t="s">
        <v>63</v>
      </c>
      <c r="C69" s="19"/>
      <c r="D69" s="19"/>
      <c r="E69" s="19"/>
      <c r="F69" s="19"/>
      <c r="G69" s="19"/>
    </row>
    <row r="70" spans="1:7" ht="42" customHeight="1" x14ac:dyDescent="0.25">
      <c r="B70" s="17" t="s">
        <v>64</v>
      </c>
      <c r="C70" s="30" t="s">
        <v>65</v>
      </c>
      <c r="D70" s="29"/>
      <c r="E70" s="29"/>
      <c r="F70" s="29"/>
      <c r="G70" s="29"/>
    </row>
    <row r="71" spans="1:7" ht="30" customHeight="1" x14ac:dyDescent="0.25">
      <c r="B71" s="17" t="s">
        <v>66</v>
      </c>
      <c r="C71" s="30" t="s">
        <v>67</v>
      </c>
      <c r="D71" s="29"/>
      <c r="E71" s="29"/>
      <c r="F71" s="29"/>
      <c r="G71" s="29"/>
    </row>
    <row r="72" spans="1:7" ht="42" customHeight="1" x14ac:dyDescent="0.25">
      <c r="B72" s="17" t="s">
        <v>68</v>
      </c>
      <c r="C72" s="30" t="s">
        <v>69</v>
      </c>
      <c r="D72" s="29"/>
      <c r="E72" s="29"/>
      <c r="F72" s="29"/>
      <c r="G72" s="29"/>
    </row>
    <row r="73" spans="1:7" ht="30" customHeight="1" x14ac:dyDescent="0.25">
      <c r="B73" s="17" t="s">
        <v>70</v>
      </c>
      <c r="C73" s="30" t="s">
        <v>71</v>
      </c>
      <c r="D73" s="29"/>
      <c r="E73" s="29"/>
      <c r="F73" s="29"/>
      <c r="G73" s="29"/>
    </row>
    <row r="74" spans="1:7" ht="30" customHeight="1" x14ac:dyDescent="0.25">
      <c r="B74" s="17" t="s">
        <v>72</v>
      </c>
      <c r="C74" s="30" t="s">
        <v>73</v>
      </c>
      <c r="D74" s="29"/>
      <c r="E74" s="29"/>
      <c r="F74" s="29"/>
      <c r="G74" s="29"/>
    </row>
    <row r="75" spans="1:7" ht="12" customHeight="1" x14ac:dyDescent="0.25"/>
    <row r="76" spans="1:7" ht="27.75" customHeight="1" x14ac:dyDescent="0.25">
      <c r="B76" s="28" t="s">
        <v>74</v>
      </c>
      <c r="C76" s="29"/>
      <c r="D76" s="29"/>
      <c r="E76" s="29"/>
      <c r="F76" s="29"/>
      <c r="G76" s="29"/>
    </row>
  </sheetData>
  <mergeCells count="48">
    <mergeCell ref="C74:G74"/>
    <mergeCell ref="B29:G29"/>
    <mergeCell ref="B69:G69"/>
    <mergeCell ref="B12:C12"/>
    <mergeCell ref="B41"/>
    <mergeCell ref="B19:G19"/>
    <mergeCell ref="B58:C58"/>
    <mergeCell ref="B52:G52"/>
    <mergeCell ref="B35:C35"/>
    <mergeCell ref="B39:G39"/>
    <mergeCell ref="B62:C62"/>
    <mergeCell ref="B42:G42"/>
    <mergeCell ref="B61:G61"/>
    <mergeCell ref="B22:C22"/>
    <mergeCell ref="B31:C31"/>
    <mergeCell ref="B56:C56"/>
    <mergeCell ref="E2:G2"/>
    <mergeCell ref="B10:G10"/>
    <mergeCell ref="B21:C21"/>
    <mergeCell ref="B28:G28"/>
    <mergeCell ref="C73:G73"/>
    <mergeCell ref="B11:C11"/>
    <mergeCell ref="B23:C23"/>
    <mergeCell ref="B14:C14"/>
    <mergeCell ref="B40:G40"/>
    <mergeCell ref="B15:G15"/>
    <mergeCell ref="B13:C13"/>
    <mergeCell ref="B3:G3"/>
    <mergeCell ref="B36:C36"/>
    <mergeCell ref="B32:C32"/>
    <mergeCell ref="B18:G18"/>
    <mergeCell ref="B63:C63"/>
    <mergeCell ref="B76:G76"/>
    <mergeCell ref="B34:C34"/>
    <mergeCell ref="B4:G4"/>
    <mergeCell ref="C71:G71"/>
    <mergeCell ref="C70:G70"/>
    <mergeCell ref="B65:C65"/>
    <mergeCell ref="B7:G7"/>
    <mergeCell ref="B25:G25"/>
    <mergeCell ref="B47:G47"/>
    <mergeCell ref="B24:C24"/>
    <mergeCell ref="B30:C30"/>
    <mergeCell ref="B64:C64"/>
    <mergeCell ref="B33:C33"/>
    <mergeCell ref="B66:G66"/>
    <mergeCell ref="B20:C20"/>
    <mergeCell ref="C72:G72"/>
  </mergeCells>
  <dataValidations count="4">
    <dataValidation type="list" allowBlank="1" sqref="D13:G13" xr:uid="{00000000-0002-0000-0100-000000000000}">
      <formula1>"Privatperson / MBI,Strategischer Käufer,Finanzinvestor,Nachfolger aus dem Umfeld"</formula1>
    </dataValidation>
    <dataValidation type="list" allowBlank="1" sqref="D22:G22" xr:uid="{00000000-0002-0000-0100-000001000000}">
      <formula1>"Unternehmenswert (cash and debt free),Auszahlung an dich"</formula1>
    </dataValidation>
    <dataValidation type="list" allowBlank="1" sqref="D31:G31 D32:G32 D33:G33 D34:G34 D35:G35" xr:uid="{00000000-0002-0000-0100-000002000000}">
      <formula1>"ja,nein,offen"</formula1>
    </dataValidation>
    <dataValidation type="list" allowBlank="1" sqref="D43:G43 D44:G44 D45:G45 D46:G46 D48:G48 D49:G49 D50:G50 D51:G51 D53:G53 D54:G54 D55:G55" xr:uid="{00000000-0002-0000-0100-000003000000}">
      <formula1>"0,1,2,3"</formula1>
    </dataValidation>
  </dataValidations>
  <printOptions horizontalCentered="1"/>
  <pageMargins left="0.4" right="0.4" top="0.4" bottom="0.4"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Matrix</vt:lpstr>
      <vt:lpstr>Beispiel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DUB Käufer-Bewertungsmatrix</dc:title>
  <dc:creator>Deutsche Unternehmerbörse DUB.de GmbH</dc:creator>
  <dc:description>Verkäufer-Academy, Modul 6: Käufer- und Angebots-Screening</dc:description>
  <cp:lastModifiedBy>Graig Gröbli</cp:lastModifiedBy>
  <dcterms:created xsi:type="dcterms:W3CDTF">2026-09-14T10:13:36Z</dcterms:created>
  <dcterms:modified xsi:type="dcterms:W3CDTF">2026-09-14T10:16:08Z</dcterms:modified>
</cp:coreProperties>
</file>