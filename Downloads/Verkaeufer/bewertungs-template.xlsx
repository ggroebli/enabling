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ealcircle-my.sharepoint.com/personal/graig_groebli_dealcircle_com/Documents/Misc/Dokumente/Enablement VS Project/Downloads/Verkaeufer/"/>
    </mc:Choice>
  </mc:AlternateContent>
  <xr:revisionPtr revIDLastSave="394" documentId="11_369E44388F0408D65DAC73EFBC279B77BACDFA47" xr6:coauthVersionLast="47" xr6:coauthVersionMax="47" xr10:uidLastSave="{A21A202D-C6B5-48E5-87E8-536A404C619B}"/>
  <bookViews>
    <workbookView xWindow="-120" yWindow="-120" windowWidth="29040" windowHeight="17520" xr2:uid="{00000000-000D-0000-FFFF-FFFF00000000}"/>
  </bookViews>
  <sheets>
    <sheet name="Bewertung" sheetId="1" r:id="rId1"/>
    <sheet name="Beispie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2" l="1"/>
  <c r="F30" i="2"/>
  <c r="E30" i="2"/>
  <c r="E31" i="2" s="1"/>
  <c r="E32" i="2" s="1"/>
  <c r="D30" i="2"/>
  <c r="D31" i="2" s="1"/>
  <c r="D32" i="2" s="1"/>
  <c r="C30" i="2"/>
  <c r="C31" i="2" s="1"/>
  <c r="F18" i="2"/>
  <c r="F31" i="2" s="1"/>
  <c r="F32" i="2" s="1"/>
  <c r="E18" i="2"/>
  <c r="D18" i="2"/>
  <c r="C18" i="2"/>
  <c r="B45" i="1"/>
  <c r="F36" i="1"/>
  <c r="E36" i="1"/>
  <c r="D36" i="1"/>
  <c r="C36" i="1"/>
  <c r="F24" i="1"/>
  <c r="F37" i="1" s="1"/>
  <c r="F38" i="1" s="1"/>
  <c r="E24" i="1"/>
  <c r="E37" i="1" s="1"/>
  <c r="E38" i="1" s="1"/>
  <c r="D24" i="1"/>
  <c r="C24" i="1"/>
  <c r="D37" i="1" l="1"/>
  <c r="D38" i="1" s="1"/>
  <c r="C37" i="1"/>
  <c r="E47" i="1"/>
  <c r="C38" i="1"/>
  <c r="E41" i="2"/>
  <c r="C32" i="2"/>
  <c r="F52" i="2" l="1"/>
  <c r="E52" i="2"/>
  <c r="D52" i="2"/>
  <c r="E58" i="1"/>
  <c r="D58" i="1"/>
  <c r="F58" i="1"/>
</calcChain>
</file>

<file path=xl/sharedStrings.xml><?xml version="1.0" encoding="utf-8"?>
<sst xmlns="http://schemas.openxmlformats.org/spreadsheetml/2006/main" count="129" uniqueCount="66">
  <si>
    <t>DUB  ·  VERKÄUFER-ACADEMY</t>
  </si>
  <si>
    <t>MODUL 4 · WAS IST MEIN UNTERNEHMEN WERT?</t>
  </si>
  <si>
    <t>Bewertungs-Template</t>
  </si>
  <si>
    <t>Bereinigtes EBITDA × Branchen-Multiple = deine Bewertungsbandbreite</t>
  </si>
  <si>
    <t xml:space="preserve">  ▶   SO GEHST DU VOR</t>
  </si>
  <si>
    <t>1.  Trage in Abschnitt 1 die Zahlen aus deinem Jahresabschluss ein: für die beiden letzten abgeschlossenen Jahre, deine Hochrechnung für das laufende Jahr und deine Planung für das Folgejahr.</t>
  </si>
  <si>
    <t>2.  Ergänze in Abschnitt 2 die Bereinigungen. Sie machen sichtbar, was dein Unternehmen ohne inhaberbedingte Sondereffekte tatsächlich verdient – die wichtigste Kennzahl für Käufer.</t>
  </si>
  <si>
    <t>3.  Trage in Abschnitt 4 die EBITDA-Multiples für deine Branche ein. Die aktuellen KMU-Multiples findest du auf www.dub.de.</t>
  </si>
  <si>
    <t>4.  Abschnitt 5 zeigt deine Bewertungsbandbreite, Abschnitt 6 hilft dir einzuordnen, wo in dieser Spanne dein Unternehmen steht.</t>
  </si>
  <si>
    <t>Die orange hinterlegten Felder sind Eingabefelder. Alle übrigen Werte berechnen sich automatisch.</t>
  </si>
  <si>
    <t xml:space="preserve">  1   ZAHLEN AUS DEINEM JAHRESABSCHLUSS</t>
  </si>
  <si>
    <t>Position · alle Beträge in Euro</t>
  </si>
  <si>
    <t>Zwei Jahre zurück
(abgeschlossen)</t>
  </si>
  <si>
    <t>Letztes Jahr
(abgeschlossen)</t>
  </si>
  <si>
    <t>Laufendes Jahr
(Forecast)</t>
  </si>
  <si>
    <t>Folgejahr
(Plan)</t>
  </si>
  <si>
    <t>Geschäftsjahr</t>
  </si>
  <si>
    <t>Umsatzerlöse</t>
  </si>
  <si>
    <t>Gesamtleistung (Umsatz ± Bestandsveränderung + aktivierte Eigenleistungen)</t>
  </si>
  <si>
    <t>Ergebnis der gewöhnlichen Geschäftstätigkeit (EGT)</t>
  </si>
  <si>
    <t>Finanzergebnis (Zinserträge − Zinsaufwendungen, meist negativ)</t>
  </si>
  <si>
    <t>Abschreibungen auf Sachanlagen und immaterielle Vermögensgegenstände</t>
  </si>
  <si>
    <t>= EBITDA laut Jahresabschluss</t>
  </si>
  <si>
    <t>EBITDA = EGT abzüglich Finanzergebnis zuzüglich Abschreibungen. Weist deine GuV kein EGT aus, nimm stattdessen: Jahresüberschuss + Steuern vom Einkommen und Ertrag.</t>
  </si>
  <si>
    <t xml:space="preserve">  2   BEREINIGUNGEN</t>
  </si>
  <si>
    <t>Bei inhabergeführten Unternehmen muss das EBITDA bereinigt werden, damit Käufer die tatsächliche Ertragskraft erkennen. Alles, was das Ergebnis nach der Bereinigung erhöht, trägst du positiv ein, alles Mindernde mit Minuszeichen.</t>
  </si>
  <si>
    <t xml:space="preserve">      Inhabergehalt: Differenz zu einem marktüblichen Geschäftsführergehalt</t>
  </si>
  <si>
    <t xml:space="preserve">      Private Ausgaben über das Unternehmen (z. B. privat genutzter Firmenwagen)</t>
  </si>
  <si>
    <t xml:space="preserve">      Einmalige Aufwendungen (z. B. Rechtsstreit, Umzug, Abfindung)</t>
  </si>
  <si>
    <t xml:space="preserve">      Einmalige Erträge (z. B. Versicherungsleistung, Anlagenverkauf) – negativ eintragen</t>
  </si>
  <si>
    <t xml:space="preserve">      Miete an dich oder verbundene Unternehmen: Differenz zur marktüblichen Miete</t>
  </si>
  <si>
    <t xml:space="preserve">      Weitere Bereinigung (frei)</t>
  </si>
  <si>
    <t>= Summe Bereinigungen</t>
  </si>
  <si>
    <t>= BEREINIGTES EBITDA</t>
  </si>
  <si>
    <t>Bereinigte EBITDA-Marge (auf Gesamtleistung)</t>
  </si>
  <si>
    <t>Käufer hinterfragen jede Bereinigung. Je nachvollziehbarer du sie belegen kannst, desto stärker deine Verhandlungsposition.</t>
  </si>
  <si>
    <t xml:space="preserve">  3   GEWICHTUNG DER JAHRE</t>
  </si>
  <si>
    <t>Käufer schauen auf die belegte Vergangenheit und auf die Perspektive. Das letzte abgeschlossene Jahr und das laufende Jahr wiegen deshalb am schwersten. Du kannst die Gewichtung anpassen, in Summe muss sie 100 % ergeben.</t>
  </si>
  <si>
    <t>Gewichtung</t>
  </si>
  <si>
    <t>= GEWICHTETES BEREINIGTES EBITDA  ·  deine Bewertungsbasis</t>
  </si>
  <si>
    <t xml:space="preserve">  4   EBITDA-MULTIPLES DEINER BRANCHE</t>
  </si>
  <si>
    <t>Die aktuellen KMU-Multiples nach Branche findest du auf www.dub.de. Trage die drei Werte für deine Branche ein – sie bestimmen, wie breit deine Bewertungsspanne ausfällt.</t>
  </si>
  <si>
    <t>Minimum</t>
  </si>
  <si>
    <t>Durchschnitt</t>
  </si>
  <si>
    <t>Maximum</t>
  </si>
  <si>
    <t>EBITDA-Multiple deiner Branche</t>
  </si>
  <si>
    <t xml:space="preserve">  5   DEINE BEWERTUNGSBANDBREITE</t>
  </si>
  <si>
    <t>UNTERNEHMENSWERT</t>
  </si>
  <si>
    <t>Das ist der Unternehmenswert, nicht der Kaufpreis. Er ist „cash and debt free“ gerechnet: Finanzverbindlichkeiten, überschüssige Barmittel, Working Capital und Investitionsstau kommen erst über die Preisbrücke dazu oder gehen ab (siehe Modul 4, Abschnitt 4).</t>
  </si>
  <si>
    <t xml:space="preserve">  6   WO IN DIESER SPANNE LIEGT DEIN UNTERNEHMEN?</t>
  </si>
  <si>
    <t>Ob dein Unternehmen eher am unteren oder am oberen Rand dieser Spanne liegt, entscheidet sich daran, wie gut es ohne dich funktioniert und wie verlässlich seine Erträge sind: an Exit-Readiness und Inhaberabhängigkeit, am Wachstumstrend, an der Marge im Branchenvergleich, an der Personalstruktur, an der Kundenstruktur und an der Qualität deiner Verträge.</t>
  </si>
  <si>
    <t>Exit-Readiness und Inhaberabhängigkeit</t>
  </si>
  <si>
    <t>Oberer Rand: Das Tagesgeschäft läuft ohne dich, Prozesse sind dokumentiert, Kundenbeziehungen hängen am Team.   Unterer Rand: Entscheidungen, Fachwissen und Kundenkontakte liegen allein bei dir.</t>
  </si>
  <si>
    <t>Wachstum</t>
  </si>
  <si>
    <t>Oberer Rand: Umsatz und Ergebnis sind über mehrere Jahre gestiegen, die Planung ist mit Aufträgen unterlegt.   Unterer Rand: Rückläufige oder stark schwankende Zahlen ohne erkennbaren Grund.</t>
  </si>
  <si>
    <t>Marge im Branchenvergleich</t>
  </si>
  <si>
    <t>Oberer Rand: Deine bereinigte EBITDA-Marge liegt über dem Branchenschnitt.   Unterer Rand: Sie liegt darunter, ohne dass es dafür eine erklärbare Sondersituation gibt.</t>
  </si>
  <si>
    <t>Personalstruktur</t>
  </si>
  <si>
    <t>Oberer Rand: Eingespieltes Team, Schlüsselpositionen doppelt besetzt, geringe Fluktuation.   Unterer Rand: Offene Schlüsselstellen, hohe Fluktuation oder ein Team kurz vor dem Ruhestand.</t>
  </si>
  <si>
    <t>Kundenstruktur</t>
  </si>
  <si>
    <t>Oberer Rand: Viele Kunden, kein einzelner dominiert, wiederkehrende Erlöse aus Wartung oder Rahmenverträgen.   Unterer Rand: Ein einzelner Kunde macht 30 % oder mehr des Umsatzes aus.</t>
  </si>
  <si>
    <t>Verträge und Ausstattung</t>
  </si>
  <si>
    <t>Oberer Rand: Langfristige Miet-, Liefer- und Kundenverträge, gepflegte Maschinen und Software.   Unterer Rand: Kurzfristig kündbare Verträge, Investitionsstau oder ungeklärte Rechtsfragen.</t>
  </si>
  <si>
    <t>Dieses Template dient der Orientierung und ersetzt keine Rechts-, Steuer- oder Finanzberatung.    DUB · info@dub.de · www.dub.de    © 2026 Deutsche Unternehmerbörse DUB.de GmbH</t>
  </si>
  <si>
    <t>Bewertungs-Template  –  ausgefülltes Beispiel</t>
  </si>
  <si>
    <t>Dieses Blatt zeigt das Modell mit Beispielzahlen eines Handwerksbetriebs. Es dient nur der Veranschaulichung – arbeite im Blatt „Bewertung“ mit deinen eigenen Zahlen.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</si>
</sst>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0\ &quot;€&quot;;[Red]\-#,##0\ &quot;€&quot;"/>
    <numFmt numFmtId="164" formatCode="#,##0\ &quot;€&quot;;[Red]\-#,##0\ &quot;€&quot;;&quot;&quot;"/>
    <numFmt numFmtId="165" formatCode="0\ %"/>
    <numFmt numFmtId="166" formatCode="0.0&quot;×&quot;"/>
  </numFmts>
  <fonts count="26" x14ac:knownFonts="1">
    <font>
      <sz val="11"/>
      <color theme="1"/>
      <name val="Calibri"/>
      <family val="2"/>
      <scheme val="minor"/>
    </font>
    <font>
      <b/>
      <sz val="10"/>
      <color rgb="FFC7D0DE"/>
      <name val="Calibri"/>
    </font>
    <font>
      <b/>
      <sz val="10"/>
      <color rgb="FFEE7A1E"/>
      <name val="Calibri"/>
    </font>
    <font>
      <b/>
      <sz val="20"/>
      <color rgb="FFFFFFFF"/>
      <name val="Calibri"/>
    </font>
    <font>
      <sz val="11"/>
      <color rgb="FFC7D0DE"/>
      <name val="Calibri"/>
    </font>
    <font>
      <b/>
      <sz val="11"/>
      <color rgb="FFFFFFFF"/>
      <name val="Calibri"/>
    </font>
    <font>
      <sz val="10"/>
      <color rgb="FF1A1A1A"/>
      <name val="Calibri"/>
    </font>
    <font>
      <i/>
      <sz val="9.5"/>
      <color rgb="FF8A94A6"/>
      <name val="Calibri"/>
    </font>
    <font>
      <b/>
      <sz val="9.5"/>
      <color rgb="FF666666"/>
      <name val="Calibri"/>
    </font>
    <font>
      <b/>
      <sz val="9"/>
      <color rgb="FF0F2744"/>
      <name val="Calibri"/>
    </font>
    <font>
      <sz val="10.5"/>
      <color rgb="FF1A1A1A"/>
      <name val="Calibri"/>
    </font>
    <font>
      <sz val="10.5"/>
      <color rgb="FFB35C0F"/>
      <name val="Calibri"/>
    </font>
    <font>
      <b/>
      <sz val="10.5"/>
      <color rgb="FF1A1A1A"/>
      <name val="Calibri"/>
    </font>
    <font>
      <b/>
      <sz val="12"/>
      <color rgb="FF0F2744"/>
      <name val="Calibri"/>
    </font>
    <font>
      <b/>
      <sz val="10"/>
      <color rgb="FF1A1A1A"/>
      <name val="Calibri"/>
    </font>
    <font>
      <b/>
      <sz val="10.5"/>
      <color rgb="FFB35C0F"/>
      <name val="Calibri"/>
    </font>
    <font>
      <b/>
      <sz val="13"/>
      <color rgb="FF0F2744"/>
      <name val="Calibri"/>
    </font>
    <font>
      <b/>
      <sz val="9.5"/>
      <color rgb="FF0F2744"/>
      <name val="Calibri"/>
    </font>
    <font>
      <b/>
      <sz val="11"/>
      <color rgb="FFB35C0F"/>
      <name val="Calibri"/>
    </font>
    <font>
      <b/>
      <sz val="13"/>
      <color rgb="FFFFFFFF"/>
      <name val="Calibri"/>
    </font>
    <font>
      <sz val="9.5"/>
      <color rgb="FF666666"/>
      <name val="Calibri"/>
    </font>
    <font>
      <b/>
      <sz val="11"/>
      <color rgb="FF0F2744"/>
      <name val="Calibri"/>
    </font>
    <font>
      <b/>
      <sz val="10"/>
      <color rgb="FF0F2744"/>
      <name val="Calibri"/>
    </font>
    <font>
      <sz val="9.5"/>
      <color rgb="FF1A1A1A"/>
      <name val="Calibri"/>
    </font>
    <font>
      <sz val="9"/>
      <color rgb="FF8A94A6"/>
      <name val="Calibri"/>
    </font>
    <font>
      <sz val="10"/>
      <color rgb="FF0F2744"/>
      <name val="Calibri"/>
    </font>
  </fonts>
  <fills count="7">
    <fill>
      <patternFill patternType="none"/>
    </fill>
    <fill>
      <patternFill patternType="gray125"/>
    </fill>
    <fill>
      <patternFill patternType="solid">
        <fgColor rgb="FF0F2744"/>
      </patternFill>
    </fill>
    <fill>
      <patternFill patternType="solid">
        <fgColor rgb="FFEE7A1E"/>
      </patternFill>
    </fill>
    <fill>
      <patternFill patternType="solid">
        <fgColor rgb="FFFFF8EF"/>
      </patternFill>
    </fill>
    <fill>
      <patternFill patternType="solid">
        <fgColor rgb="FFEEF1F5"/>
      </patternFill>
    </fill>
    <fill>
      <patternFill patternType="solid">
        <fgColor rgb="FFFDEBD8"/>
      </patternFill>
    </fill>
  </fills>
  <borders count="7">
    <border>
      <left/>
      <right/>
      <top/>
      <bottom/>
      <diagonal/>
    </border>
    <border>
      <left/>
      <right/>
      <top/>
      <bottom style="thin">
        <color rgb="FFE5E7EB"/>
      </bottom>
      <diagonal/>
    </border>
    <border>
      <left style="thin">
        <color rgb="FFFFFFFF"/>
      </left>
      <right/>
      <top/>
      <bottom style="thin">
        <color rgb="FFE5E7EB"/>
      </bottom>
      <diagonal/>
    </border>
    <border>
      <left/>
      <right/>
      <top style="thin">
        <color rgb="FF8A94A6"/>
      </top>
      <bottom style="thin">
        <color rgb="FFE5E7EB"/>
      </bottom>
      <diagonal/>
    </border>
    <border>
      <left/>
      <right/>
      <top style="thin">
        <color rgb="FF0F2744"/>
      </top>
      <bottom style="thin">
        <color rgb="FFE5E7EB"/>
      </bottom>
      <diagonal/>
    </border>
    <border>
      <left/>
      <right/>
      <top style="thin">
        <color rgb="FF0F2744"/>
      </top>
      <bottom style="thin">
        <color rgb="FF0F2744"/>
      </bottom>
      <diagonal/>
    </border>
    <border>
      <left/>
      <right/>
      <top style="thin">
        <color rgb="FFE5E7EB"/>
      </top>
      <bottom/>
      <diagonal/>
    </border>
  </borders>
  <cellStyleXfs count="1">
    <xf numFmtId="0" fontId="0" fillId="0" borderId="0"/>
  </cellStyleXfs>
  <cellXfs count="39">
    <xf numFmtId="0" fontId="0" fillId="0" borderId="0" xfId="0"/>
    <xf numFmtId="0" fontId="0" fillId="2" borderId="0" xfId="0" applyFill="1"/>
    <xf numFmtId="0" fontId="1" fillId="2" borderId="0" xfId="0" applyFont="1" applyFill="1" applyAlignment="1">
      <alignment horizontal="left" vertical="center"/>
    </xf>
    <xf numFmtId="0" fontId="0" fillId="3" borderId="0" xfId="0" applyFill="1"/>
    <xf numFmtId="0" fontId="8" fillId="0" borderId="0" xfId="0" applyFont="1" applyAlignment="1">
      <alignment horizontal="left"/>
    </xf>
    <xf numFmtId="0" fontId="9" fillId="0" borderId="0" xfId="0" applyFont="1" applyAlignment="1">
      <alignment horizontal="center" wrapText="1"/>
    </xf>
    <xf numFmtId="0" fontId="10" fillId="0" borderId="1" xfId="0" applyFont="1" applyBorder="1" applyAlignment="1">
      <alignment horizontal="left" vertical="center" wrapText="1"/>
    </xf>
    <xf numFmtId="1" fontId="11" fillId="4" borderId="2" xfId="0" applyNumberFormat="1" applyFont="1" applyFill="1" applyBorder="1" applyAlignment="1">
      <alignment horizontal="right" vertical="center"/>
    </xf>
    <xf numFmtId="6" fontId="11" fillId="4" borderId="2" xfId="0" applyNumberFormat="1" applyFont="1" applyFill="1" applyBorder="1" applyAlignment="1">
      <alignment horizontal="right" vertical="center"/>
    </xf>
    <xf numFmtId="0" fontId="12" fillId="5" borderId="3" xfId="0" applyFont="1" applyFill="1" applyBorder="1" applyAlignment="1">
      <alignment horizontal="left" vertical="center" wrapText="1"/>
    </xf>
    <xf numFmtId="164" fontId="12" fillId="5" borderId="3" xfId="0" applyNumberFormat="1" applyFont="1" applyFill="1" applyBorder="1" applyAlignment="1">
      <alignment horizontal="right" vertical="center"/>
    </xf>
    <xf numFmtId="0" fontId="13" fillId="6" borderId="4" xfId="0" applyFont="1" applyFill="1" applyBorder="1" applyAlignment="1">
      <alignment horizontal="left" vertical="center" wrapText="1"/>
    </xf>
    <xf numFmtId="164" fontId="13" fillId="6" borderId="4" xfId="0" applyNumberFormat="1" applyFont="1" applyFill="1" applyBorder="1" applyAlignment="1">
      <alignment horizontal="right" vertical="center"/>
    </xf>
    <xf numFmtId="0" fontId="14" fillId="5" borderId="3" xfId="0" applyFont="1" applyFill="1" applyBorder="1" applyAlignment="1">
      <alignment horizontal="left" vertical="center" wrapText="1"/>
    </xf>
    <xf numFmtId="165" fontId="14" fillId="5" borderId="3" xfId="0" applyNumberFormat="1" applyFont="1" applyFill="1" applyBorder="1" applyAlignment="1">
      <alignment horizontal="right" vertical="center"/>
    </xf>
    <xf numFmtId="165" fontId="15" fillId="4" borderId="2" xfId="0" applyNumberFormat="1" applyFont="1" applyFill="1" applyBorder="1" applyAlignment="1">
      <alignment horizontal="right" vertical="center"/>
    </xf>
    <xf numFmtId="0" fontId="17" fillId="0" borderId="0" xfId="0" applyFont="1" applyAlignment="1">
      <alignment horizontal="center" vertical="center" wrapText="1"/>
    </xf>
    <xf numFmtId="166" fontId="18" fillId="4" borderId="2" xfId="0" applyNumberFormat="1" applyFont="1" applyFill="1" applyBorder="1" applyAlignment="1">
      <alignment horizontal="right" vertical="center"/>
    </xf>
    <xf numFmtId="164" fontId="19" fillId="2" borderId="0" xfId="0" applyNumberFormat="1" applyFont="1" applyFill="1" applyAlignment="1">
      <alignment horizontal="right" vertical="center"/>
    </xf>
    <xf numFmtId="0" fontId="22" fillId="0" borderId="6" xfId="0" applyFont="1" applyBorder="1" applyAlignment="1">
      <alignment horizontal="left" vertical="top" wrapText="1"/>
    </xf>
    <xf numFmtId="0" fontId="5" fillId="2" borderId="0" xfId="0" applyFont="1" applyFill="1" applyAlignment="1">
      <alignment horizontal="left" vertical="center"/>
    </xf>
    <xf numFmtId="0" fontId="0" fillId="2" borderId="0" xfId="0" applyFill="1"/>
    <xf numFmtId="0" fontId="7" fillId="0" borderId="0" xfId="0" applyFont="1" applyAlignment="1">
      <alignment horizontal="left" vertical="top" wrapText="1"/>
    </xf>
    <xf numFmtId="0" fontId="0" fillId="0" borderId="0" xfId="0"/>
    <xf numFmtId="0" fontId="2" fillId="2" borderId="0" xfId="0" applyFont="1" applyFill="1" applyAlignment="1">
      <alignment horizontal="right" vertical="center"/>
    </xf>
    <xf numFmtId="0" fontId="4" fillId="2" borderId="0" xfId="0" applyFont="1" applyFill="1" applyAlignment="1">
      <alignment horizontal="left" vertical="center"/>
    </xf>
    <xf numFmtId="0" fontId="23" fillId="0" borderId="6" xfId="0" applyFont="1" applyBorder="1" applyAlignment="1">
      <alignment horizontal="left" vertical="top" wrapText="1"/>
    </xf>
    <xf numFmtId="0" fontId="0" fillId="0" borderId="6" xfId="0" applyBorder="1"/>
    <xf numFmtId="0" fontId="6" fillId="0" borderId="0" xfId="0" applyFont="1" applyAlignment="1">
      <alignment horizontal="left" vertical="top" wrapText="1"/>
    </xf>
    <xf numFmtId="0" fontId="13" fillId="6" borderId="5" xfId="0" applyFont="1" applyFill="1" applyBorder="1" applyAlignment="1">
      <alignment horizontal="left" vertical="center"/>
    </xf>
    <xf numFmtId="0" fontId="0" fillId="6" borderId="5" xfId="0" applyFill="1" applyBorder="1"/>
    <xf numFmtId="0" fontId="21" fillId="6" borderId="0" xfId="0" applyFont="1" applyFill="1" applyAlignment="1">
      <alignment horizontal="left" vertical="top" wrapText="1"/>
    </xf>
    <xf numFmtId="0" fontId="0" fillId="6" borderId="0" xfId="0" applyFill="1"/>
    <xf numFmtId="164" fontId="16" fillId="6" borderId="5" xfId="0" applyNumberFormat="1" applyFont="1" applyFill="1" applyBorder="1" applyAlignment="1">
      <alignment horizontal="right" vertical="center"/>
    </xf>
    <xf numFmtId="0" fontId="24" fillId="0" borderId="6" xfId="0" applyFont="1" applyBorder="1" applyAlignment="1">
      <alignment horizontal="left" vertical="top" wrapText="1"/>
    </xf>
    <xf numFmtId="0" fontId="3" fillId="2" borderId="0" xfId="0" applyFont="1" applyFill="1" applyAlignment="1">
      <alignment horizontal="left" vertical="center"/>
    </xf>
    <xf numFmtId="0" fontId="20" fillId="0" borderId="0" xfId="0" applyFont="1" applyAlignment="1">
      <alignment horizontal="left" vertical="top" wrapText="1"/>
    </xf>
    <xf numFmtId="0" fontId="19" fillId="2" borderId="0" xfId="0" applyFont="1" applyFill="1" applyAlignment="1">
      <alignment horizontal="left" vertical="center"/>
    </xf>
    <xf numFmtId="0" fontId="25" fillId="6" borderId="0" xfId="0" applyFont="1" applyFill="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2744"/>
    <pageSetUpPr fitToPage="1"/>
  </sheetPr>
  <dimension ref="A1:G72"/>
  <sheetViews>
    <sheetView showGridLines="0" tabSelected="1" topLeftCell="A43" workbookViewId="0">
      <selection activeCell="F58" sqref="F58"/>
    </sheetView>
  </sheetViews>
  <sheetFormatPr baseColWidth="10" defaultColWidth="9.140625" defaultRowHeight="15" x14ac:dyDescent="0.25"/>
  <cols>
    <col min="1" max="1" width="2.140625" customWidth="1"/>
    <col min="2" max="2" width="74" customWidth="1"/>
    <col min="3" max="6" width="16" customWidth="1"/>
    <col min="7" max="7" width="2.140625" customWidth="1"/>
    <col min="26" max="26" width="9.140625" customWidth="1"/>
  </cols>
  <sheetData>
    <row r="1" spans="1:7" ht="6" customHeight="1" x14ac:dyDescent="0.25">
      <c r="A1" s="1"/>
      <c r="B1" s="1"/>
      <c r="C1" s="1"/>
      <c r="D1" s="1"/>
      <c r="E1" s="1"/>
      <c r="F1" s="1"/>
      <c r="G1" s="1"/>
    </row>
    <row r="2" spans="1:7" ht="18" customHeight="1" x14ac:dyDescent="0.25">
      <c r="A2" s="1"/>
      <c r="B2" s="2" t="s">
        <v>0</v>
      </c>
      <c r="C2" s="1"/>
      <c r="D2" s="24" t="s">
        <v>1</v>
      </c>
      <c r="E2" s="21"/>
      <c r="F2" s="21"/>
      <c r="G2" s="1"/>
    </row>
    <row r="3" spans="1:7" ht="30" customHeight="1" x14ac:dyDescent="0.25">
      <c r="A3" s="1"/>
      <c r="B3" s="35" t="s">
        <v>2</v>
      </c>
      <c r="C3" s="21"/>
      <c r="D3" s="21"/>
      <c r="E3" s="21"/>
      <c r="F3" s="21"/>
      <c r="G3" s="1"/>
    </row>
    <row r="4" spans="1:7" ht="18.95" customHeight="1" x14ac:dyDescent="0.25">
      <c r="A4" s="1"/>
      <c r="B4" s="25" t="s">
        <v>3</v>
      </c>
      <c r="C4" s="21"/>
      <c r="D4" s="21"/>
      <c r="E4" s="21"/>
      <c r="F4" s="21"/>
      <c r="G4" s="1"/>
    </row>
    <row r="5" spans="1:7" ht="8.1" customHeight="1" x14ac:dyDescent="0.25">
      <c r="A5" s="1"/>
      <c r="B5" s="1"/>
      <c r="C5" s="1"/>
      <c r="D5" s="1"/>
      <c r="E5" s="1"/>
      <c r="F5" s="1"/>
      <c r="G5" s="1"/>
    </row>
    <row r="6" spans="1:7" ht="9.9499999999999993" customHeight="1" x14ac:dyDescent="0.25"/>
    <row r="7" spans="1:7" ht="6.95" customHeight="1" x14ac:dyDescent="0.25"/>
    <row r="8" spans="1:7" ht="24" customHeight="1" x14ac:dyDescent="0.25">
      <c r="A8" s="3"/>
      <c r="B8" s="20" t="s">
        <v>4</v>
      </c>
      <c r="C8" s="21"/>
      <c r="D8" s="21"/>
      <c r="E8" s="21"/>
      <c r="F8" s="21"/>
    </row>
    <row r="9" spans="1:7" ht="29.25" customHeight="1" x14ac:dyDescent="0.25">
      <c r="B9" s="28" t="s">
        <v>5</v>
      </c>
      <c r="C9" s="23"/>
      <c r="D9" s="23"/>
      <c r="E9" s="23"/>
      <c r="F9" s="23"/>
    </row>
    <row r="10" spans="1:7" ht="29.25" customHeight="1" x14ac:dyDescent="0.25">
      <c r="B10" s="28" t="s">
        <v>6</v>
      </c>
      <c r="C10" s="23"/>
      <c r="D10" s="23"/>
      <c r="E10" s="23"/>
      <c r="F10" s="23"/>
    </row>
    <row r="11" spans="1:7" ht="18" customHeight="1" x14ac:dyDescent="0.25">
      <c r="B11" s="28" t="s">
        <v>7</v>
      </c>
      <c r="C11" s="23"/>
      <c r="D11" s="23"/>
      <c r="E11" s="23"/>
      <c r="F11" s="23"/>
    </row>
    <row r="12" spans="1:7" ht="18" customHeight="1" x14ac:dyDescent="0.25">
      <c r="B12" s="28" t="s">
        <v>8</v>
      </c>
      <c r="C12" s="23"/>
      <c r="D12" s="23"/>
      <c r="E12" s="23"/>
      <c r="F12" s="23"/>
    </row>
    <row r="13" spans="1:7" ht="18" customHeight="1" x14ac:dyDescent="0.25">
      <c r="B13" s="22" t="s">
        <v>9</v>
      </c>
      <c r="C13" s="23"/>
      <c r="D13" s="23"/>
      <c r="E13" s="23"/>
      <c r="F13" s="23"/>
    </row>
    <row r="14" spans="1:7" ht="9.9499999999999993" customHeight="1" x14ac:dyDescent="0.25"/>
    <row r="15" spans="1:7" ht="6.95" customHeight="1" x14ac:dyDescent="0.25"/>
    <row r="16" spans="1:7" ht="24" customHeight="1" x14ac:dyDescent="0.25">
      <c r="A16" s="3"/>
      <c r="B16" s="20" t="s">
        <v>10</v>
      </c>
      <c r="C16" s="21"/>
      <c r="D16" s="21"/>
      <c r="E16" s="21"/>
      <c r="F16" s="21"/>
    </row>
    <row r="17" spans="1:6" ht="30" customHeight="1" x14ac:dyDescent="0.25">
      <c r="B17" s="4" t="s">
        <v>11</v>
      </c>
      <c r="C17" s="5" t="s">
        <v>12</v>
      </c>
      <c r="D17" s="5" t="s">
        <v>13</v>
      </c>
      <c r="E17" s="5" t="s">
        <v>14</v>
      </c>
      <c r="F17" s="5" t="s">
        <v>15</v>
      </c>
    </row>
    <row r="18" spans="1:6" ht="18" customHeight="1" x14ac:dyDescent="0.25">
      <c r="B18" s="6" t="s">
        <v>16</v>
      </c>
      <c r="C18" s="7">
        <v>2024</v>
      </c>
      <c r="D18" s="7">
        <v>2025</v>
      </c>
      <c r="E18" s="7">
        <v>2026</v>
      </c>
      <c r="F18" s="7">
        <v>2027</v>
      </c>
    </row>
    <row r="19" spans="1:6" ht="18" customHeight="1" x14ac:dyDescent="0.25">
      <c r="B19" s="6" t="s">
        <v>17</v>
      </c>
      <c r="C19" s="8">
        <v>1000000</v>
      </c>
      <c r="D19" s="8">
        <v>1000000</v>
      </c>
      <c r="E19" s="8">
        <v>1000000</v>
      </c>
      <c r="F19" s="8">
        <v>1000000</v>
      </c>
    </row>
    <row r="20" spans="1:6" ht="18" customHeight="1" x14ac:dyDescent="0.25">
      <c r="B20" s="6" t="s">
        <v>18</v>
      </c>
      <c r="C20" s="8">
        <v>1200000</v>
      </c>
      <c r="D20" s="8">
        <v>1200000</v>
      </c>
      <c r="E20" s="8">
        <v>1200000</v>
      </c>
      <c r="F20" s="8">
        <v>1200000</v>
      </c>
    </row>
    <row r="21" spans="1:6" ht="18" customHeight="1" x14ac:dyDescent="0.25">
      <c r="B21" s="6" t="s">
        <v>19</v>
      </c>
      <c r="C21" s="8">
        <v>50000</v>
      </c>
      <c r="D21" s="8">
        <v>50000</v>
      </c>
      <c r="E21" s="8">
        <v>150000</v>
      </c>
      <c r="F21" s="8">
        <v>200000</v>
      </c>
    </row>
    <row r="22" spans="1:6" ht="18" customHeight="1" x14ac:dyDescent="0.25">
      <c r="B22" s="6" t="s">
        <v>20</v>
      </c>
      <c r="C22" s="8">
        <v>10000</v>
      </c>
      <c r="D22" s="8">
        <v>10000</v>
      </c>
      <c r="E22" s="8">
        <v>10000</v>
      </c>
      <c r="F22" s="8">
        <v>10000</v>
      </c>
    </row>
    <row r="23" spans="1:6" ht="18" customHeight="1" x14ac:dyDescent="0.25">
      <c r="B23" s="6" t="s">
        <v>21</v>
      </c>
      <c r="C23" s="8">
        <v>30000</v>
      </c>
      <c r="D23" s="8">
        <v>30000</v>
      </c>
      <c r="E23" s="8">
        <v>30000</v>
      </c>
      <c r="F23" s="8">
        <v>30000</v>
      </c>
    </row>
    <row r="24" spans="1:6" ht="18.95" customHeight="1" x14ac:dyDescent="0.25">
      <c r="B24" s="9" t="s">
        <v>22</v>
      </c>
      <c r="C24" s="10">
        <f>C21-C22+C23</f>
        <v>70000</v>
      </c>
      <c r="D24" s="10">
        <f>D21-D22+D23</f>
        <v>70000</v>
      </c>
      <c r="E24" s="10">
        <f>E21-E22+E23</f>
        <v>170000</v>
      </c>
      <c r="F24" s="10">
        <f>F21-F22+F23</f>
        <v>220000</v>
      </c>
    </row>
    <row r="25" spans="1:6" ht="29.25" customHeight="1" x14ac:dyDescent="0.25">
      <c r="B25" s="22" t="s">
        <v>23</v>
      </c>
      <c r="C25" s="23"/>
      <c r="D25" s="23"/>
      <c r="E25" s="23"/>
      <c r="F25" s="23"/>
    </row>
    <row r="26" spans="1:6" ht="9.9499999999999993" customHeight="1" x14ac:dyDescent="0.25"/>
    <row r="27" spans="1:6" ht="6.95" customHeight="1" x14ac:dyDescent="0.25"/>
    <row r="28" spans="1:6" ht="24" customHeight="1" x14ac:dyDescent="0.25">
      <c r="A28" s="3"/>
      <c r="B28" s="20" t="s">
        <v>24</v>
      </c>
      <c r="C28" s="21"/>
      <c r="D28" s="21"/>
      <c r="E28" s="21"/>
      <c r="F28" s="21"/>
    </row>
    <row r="29" spans="1:6" ht="29.25" customHeight="1" x14ac:dyDescent="0.25">
      <c r="B29" s="28" t="s">
        <v>25</v>
      </c>
      <c r="C29" s="23"/>
      <c r="D29" s="23"/>
      <c r="E29" s="23"/>
      <c r="F29" s="23"/>
    </row>
    <row r="30" spans="1:6" ht="18" customHeight="1" x14ac:dyDescent="0.25">
      <c r="B30" s="6" t="s">
        <v>26</v>
      </c>
      <c r="C30" s="8">
        <v>30000</v>
      </c>
      <c r="D30" s="8">
        <v>30000</v>
      </c>
      <c r="E30" s="8">
        <v>30000</v>
      </c>
      <c r="F30" s="8">
        <v>30000</v>
      </c>
    </row>
    <row r="31" spans="1:6" ht="18" customHeight="1" x14ac:dyDescent="0.25">
      <c r="B31" s="6" t="s">
        <v>27</v>
      </c>
      <c r="C31" s="8">
        <v>20000</v>
      </c>
      <c r="D31" s="8">
        <v>20000</v>
      </c>
      <c r="E31" s="8">
        <v>20000</v>
      </c>
      <c r="F31" s="8">
        <v>20000</v>
      </c>
    </row>
    <row r="32" spans="1:6" ht="18" customHeight="1" x14ac:dyDescent="0.25">
      <c r="B32" s="6" t="s">
        <v>28</v>
      </c>
      <c r="C32" s="8"/>
      <c r="D32" s="8"/>
      <c r="E32" s="8"/>
      <c r="F32" s="8"/>
    </row>
    <row r="33" spans="1:6" ht="18" customHeight="1" x14ac:dyDescent="0.25">
      <c r="B33" s="6" t="s">
        <v>29</v>
      </c>
      <c r="C33" s="8">
        <v>5000</v>
      </c>
      <c r="D33" s="8">
        <v>5000</v>
      </c>
      <c r="E33" s="8">
        <v>5000</v>
      </c>
      <c r="F33" s="8">
        <v>5000</v>
      </c>
    </row>
    <row r="34" spans="1:6" ht="18" customHeight="1" x14ac:dyDescent="0.25">
      <c r="B34" s="6" t="s">
        <v>30</v>
      </c>
      <c r="C34" s="8"/>
      <c r="D34" s="8"/>
      <c r="E34" s="8"/>
      <c r="F34" s="8"/>
    </row>
    <row r="35" spans="1:6" ht="18" customHeight="1" x14ac:dyDescent="0.25">
      <c r="B35" s="6" t="s">
        <v>31</v>
      </c>
      <c r="C35" s="8"/>
      <c r="D35" s="8"/>
      <c r="E35" s="8"/>
      <c r="F35" s="8"/>
    </row>
    <row r="36" spans="1:6" ht="18.95" customHeight="1" x14ac:dyDescent="0.25">
      <c r="B36" s="9" t="s">
        <v>32</v>
      </c>
      <c r="C36" s="10">
        <f>SUM(C30:C35)</f>
        <v>55000</v>
      </c>
      <c r="D36" s="10">
        <f>SUM(D30:D35)</f>
        <v>55000</v>
      </c>
      <c r="E36" s="10">
        <f>SUM(E30:E35)</f>
        <v>55000</v>
      </c>
      <c r="F36" s="10">
        <f>SUM(F30:F35)</f>
        <v>55000</v>
      </c>
    </row>
    <row r="37" spans="1:6" ht="24" customHeight="1" x14ac:dyDescent="0.25">
      <c r="B37" s="11" t="s">
        <v>33</v>
      </c>
      <c r="C37" s="12">
        <f>C24+C36</f>
        <v>125000</v>
      </c>
      <c r="D37" s="12">
        <f>D24+D36</f>
        <v>125000</v>
      </c>
      <c r="E37" s="12">
        <f>E24+E36</f>
        <v>225000</v>
      </c>
      <c r="F37" s="12">
        <f>F24+F36</f>
        <v>275000</v>
      </c>
    </row>
    <row r="38" spans="1:6" ht="18" customHeight="1" x14ac:dyDescent="0.25">
      <c r="B38" s="13" t="s">
        <v>34</v>
      </c>
      <c r="C38" s="14">
        <f>IFERROR(C37/C20,"")</f>
        <v>0.10416666666666667</v>
      </c>
      <c r="D38" s="14">
        <f>IFERROR(D37/D20,"")</f>
        <v>0.10416666666666667</v>
      </c>
      <c r="E38" s="14">
        <f>IFERROR(E37/E20,"")</f>
        <v>0.1875</v>
      </c>
      <c r="F38" s="14">
        <f>IFERROR(F37/F20,"")</f>
        <v>0.22916666666666666</v>
      </c>
    </row>
    <row r="39" spans="1:6" ht="18" customHeight="1" x14ac:dyDescent="0.25">
      <c r="B39" s="22" t="s">
        <v>35</v>
      </c>
      <c r="C39" s="23"/>
      <c r="D39" s="23"/>
      <c r="E39" s="23"/>
      <c r="F39" s="23"/>
    </row>
    <row r="40" spans="1:6" ht="9.9499999999999993" customHeight="1" x14ac:dyDescent="0.25"/>
    <row r="41" spans="1:6" ht="6.95" customHeight="1" x14ac:dyDescent="0.25"/>
    <row r="42" spans="1:6" ht="24" customHeight="1" x14ac:dyDescent="0.25">
      <c r="A42" s="3"/>
      <c r="B42" s="20" t="s">
        <v>36</v>
      </c>
      <c r="C42" s="21"/>
      <c r="D42" s="21"/>
      <c r="E42" s="21"/>
      <c r="F42" s="21"/>
    </row>
    <row r="43" spans="1:6" ht="29.25" customHeight="1" x14ac:dyDescent="0.25">
      <c r="B43" s="28" t="s">
        <v>37</v>
      </c>
      <c r="C43" s="23"/>
      <c r="D43" s="23"/>
      <c r="E43" s="23"/>
      <c r="F43" s="23"/>
    </row>
    <row r="44" spans="1:6" ht="18.95" customHeight="1" x14ac:dyDescent="0.25">
      <c r="B44" s="6" t="s">
        <v>38</v>
      </c>
      <c r="C44" s="15">
        <v>0.15</v>
      </c>
      <c r="D44" s="15">
        <v>0.35</v>
      </c>
      <c r="E44" s="15">
        <v>0.35</v>
      </c>
      <c r="F44" s="15">
        <v>0.15</v>
      </c>
    </row>
    <row r="45" spans="1:6" ht="18" customHeight="1" x14ac:dyDescent="0.25">
      <c r="B45" s="22" t="str">
        <f>IF(SUM(C44:F44)=1,"Gewichtung ergibt 100 % – passt.","Achtung: Die Gewichtung ergibt "&amp;TEXT(SUM(C44:F44),"0 %")&amp;". Bitte auf 100 % anpassen.")</f>
        <v>Gewichtung ergibt 100 % – passt.</v>
      </c>
      <c r="C45" s="23"/>
      <c r="D45" s="23"/>
      <c r="E45" s="23"/>
      <c r="F45" s="23"/>
    </row>
    <row r="46" spans="1:6" ht="3.95" customHeight="1" x14ac:dyDescent="0.25"/>
    <row r="47" spans="1:6" ht="26.1" customHeight="1" x14ac:dyDescent="0.25">
      <c r="B47" s="29" t="s">
        <v>39</v>
      </c>
      <c r="C47" s="30"/>
      <c r="D47" s="30"/>
      <c r="E47" s="33">
        <f>SUMPRODUCT(C37:F37,C44:F44)</f>
        <v>182500</v>
      </c>
      <c r="F47" s="30"/>
    </row>
    <row r="48" spans="1:6" ht="9.9499999999999993" customHeight="1" x14ac:dyDescent="0.25"/>
    <row r="49" spans="1:6" ht="6.95" customHeight="1" x14ac:dyDescent="0.25"/>
    <row r="50" spans="1:6" ht="24" customHeight="1" x14ac:dyDescent="0.25">
      <c r="A50" s="3"/>
      <c r="B50" s="20" t="s">
        <v>40</v>
      </c>
      <c r="C50" s="21"/>
      <c r="D50" s="21"/>
      <c r="E50" s="21"/>
      <c r="F50" s="21"/>
    </row>
    <row r="51" spans="1:6" ht="29.25" customHeight="1" x14ac:dyDescent="0.25">
      <c r="B51" s="28" t="s">
        <v>41</v>
      </c>
      <c r="C51" s="23"/>
      <c r="D51" s="23"/>
      <c r="E51" s="23"/>
      <c r="F51" s="23"/>
    </row>
    <row r="52" spans="1:6" ht="18" customHeight="1" x14ac:dyDescent="0.25">
      <c r="D52" s="16" t="s">
        <v>42</v>
      </c>
      <c r="E52" s="16" t="s">
        <v>43</v>
      </c>
      <c r="F52" s="16" t="s">
        <v>44</v>
      </c>
    </row>
    <row r="53" spans="1:6" ht="21" customHeight="1" x14ac:dyDescent="0.25">
      <c r="B53" s="6" t="s">
        <v>45</v>
      </c>
      <c r="D53" s="17">
        <v>3.5</v>
      </c>
      <c r="E53" s="17">
        <v>5.5</v>
      </c>
      <c r="F53" s="17">
        <v>6.5</v>
      </c>
    </row>
    <row r="54" spans="1:6" ht="9.9499999999999993" customHeight="1" x14ac:dyDescent="0.25"/>
    <row r="55" spans="1:6" ht="6.95" customHeight="1" x14ac:dyDescent="0.25"/>
    <row r="56" spans="1:6" ht="24" customHeight="1" x14ac:dyDescent="0.25">
      <c r="A56" s="3"/>
      <c r="B56" s="20" t="s">
        <v>46</v>
      </c>
      <c r="C56" s="21"/>
      <c r="D56" s="21"/>
      <c r="E56" s="21"/>
      <c r="F56" s="21"/>
    </row>
    <row r="57" spans="1:6" ht="18" customHeight="1" x14ac:dyDescent="0.25">
      <c r="D57" s="16" t="s">
        <v>42</v>
      </c>
      <c r="E57" s="16" t="s">
        <v>43</v>
      </c>
      <c r="F57" s="16" t="s">
        <v>44</v>
      </c>
    </row>
    <row r="58" spans="1:6" ht="32.1" customHeight="1" x14ac:dyDescent="0.25">
      <c r="A58" s="3"/>
      <c r="B58" s="37" t="s">
        <v>47</v>
      </c>
      <c r="C58" s="21"/>
      <c r="D58" s="18">
        <f>$E$47*D53</f>
        <v>638750</v>
      </c>
      <c r="E58" s="18">
        <f>$E$47*E53</f>
        <v>1003750</v>
      </c>
      <c r="F58" s="18">
        <f>$E$47*F53</f>
        <v>1186250</v>
      </c>
    </row>
    <row r="59" spans="1:6" ht="29.25" customHeight="1" x14ac:dyDescent="0.25">
      <c r="B59" s="36" t="s">
        <v>48</v>
      </c>
      <c r="C59" s="23"/>
      <c r="D59" s="23"/>
      <c r="E59" s="23"/>
      <c r="F59" s="23"/>
    </row>
    <row r="60" spans="1:6" ht="9.9499999999999993" customHeight="1" x14ac:dyDescent="0.25"/>
    <row r="61" spans="1:6" ht="6.95" customHeight="1" x14ac:dyDescent="0.25"/>
    <row r="62" spans="1:6" ht="24" customHeight="1" x14ac:dyDescent="0.25">
      <c r="A62" s="3"/>
      <c r="B62" s="20" t="s">
        <v>49</v>
      </c>
      <c r="C62" s="21"/>
      <c r="D62" s="21"/>
      <c r="E62" s="21"/>
      <c r="F62" s="21"/>
    </row>
    <row r="63" spans="1:6" ht="48" customHeight="1" x14ac:dyDescent="0.25">
      <c r="B63" s="31" t="s">
        <v>50</v>
      </c>
      <c r="C63" s="32"/>
      <c r="D63" s="32"/>
      <c r="E63" s="32"/>
      <c r="F63" s="32"/>
    </row>
    <row r="64" spans="1:6" ht="6" customHeight="1" x14ac:dyDescent="0.25"/>
    <row r="65" spans="2:6" ht="42" customHeight="1" x14ac:dyDescent="0.25">
      <c r="B65" s="19" t="s">
        <v>51</v>
      </c>
      <c r="C65" s="26" t="s">
        <v>52</v>
      </c>
      <c r="D65" s="27"/>
      <c r="E65" s="27"/>
      <c r="F65" s="27"/>
    </row>
    <row r="66" spans="2:6" ht="42" customHeight="1" x14ac:dyDescent="0.25">
      <c r="B66" s="19" t="s">
        <v>53</v>
      </c>
      <c r="C66" s="26" t="s">
        <v>54</v>
      </c>
      <c r="D66" s="27"/>
      <c r="E66" s="27"/>
      <c r="F66" s="27"/>
    </row>
    <row r="67" spans="2:6" ht="42" customHeight="1" x14ac:dyDescent="0.25">
      <c r="B67" s="19" t="s">
        <v>55</v>
      </c>
      <c r="C67" s="26" t="s">
        <v>56</v>
      </c>
      <c r="D67" s="27"/>
      <c r="E67" s="27"/>
      <c r="F67" s="27"/>
    </row>
    <row r="68" spans="2:6" ht="42" customHeight="1" x14ac:dyDescent="0.25">
      <c r="B68" s="19" t="s">
        <v>57</v>
      </c>
      <c r="C68" s="26" t="s">
        <v>58</v>
      </c>
      <c r="D68" s="27"/>
      <c r="E68" s="27"/>
      <c r="F68" s="27"/>
    </row>
    <row r="69" spans="2:6" ht="42" customHeight="1" x14ac:dyDescent="0.25">
      <c r="B69" s="19" t="s">
        <v>59</v>
      </c>
      <c r="C69" s="26" t="s">
        <v>60</v>
      </c>
      <c r="D69" s="27"/>
      <c r="E69" s="27"/>
      <c r="F69" s="27"/>
    </row>
    <row r="70" spans="2:6" ht="42" customHeight="1" x14ac:dyDescent="0.25">
      <c r="B70" s="19" t="s">
        <v>61</v>
      </c>
      <c r="C70" s="26" t="s">
        <v>62</v>
      </c>
      <c r="D70" s="27"/>
      <c r="E70" s="27"/>
      <c r="F70" s="27"/>
    </row>
    <row r="71" spans="2:6" ht="12" customHeight="1" x14ac:dyDescent="0.25"/>
    <row r="72" spans="2:6" ht="27.75" customHeight="1" x14ac:dyDescent="0.25">
      <c r="B72" s="34" t="s">
        <v>63</v>
      </c>
      <c r="C72" s="27"/>
      <c r="D72" s="27"/>
      <c r="E72" s="27"/>
      <c r="F72" s="27"/>
    </row>
  </sheetData>
  <mergeCells count="33">
    <mergeCell ref="B8:F8"/>
    <mergeCell ref="B63:F63"/>
    <mergeCell ref="E47:F47"/>
    <mergeCell ref="B72:F72"/>
    <mergeCell ref="B3:F3"/>
    <mergeCell ref="B59:F59"/>
    <mergeCell ref="C67:F67"/>
    <mergeCell ref="B56:F56"/>
    <mergeCell ref="C66:F66"/>
    <mergeCell ref="B58:C58"/>
    <mergeCell ref="B43:F43"/>
    <mergeCell ref="B12:F12"/>
    <mergeCell ref="B39:F39"/>
    <mergeCell ref="C69:F69"/>
    <mergeCell ref="B11:F11"/>
    <mergeCell ref="B42:F42"/>
    <mergeCell ref="C68:F68"/>
    <mergeCell ref="B50:F50"/>
    <mergeCell ref="B13:F13"/>
    <mergeCell ref="D2:F2"/>
    <mergeCell ref="B4:F4"/>
    <mergeCell ref="C70:F70"/>
    <mergeCell ref="B16:F16"/>
    <mergeCell ref="B62:F62"/>
    <mergeCell ref="B25:F25"/>
    <mergeCell ref="B29:F29"/>
    <mergeCell ref="B10:F10"/>
    <mergeCell ref="B28:F28"/>
    <mergeCell ref="C65:F65"/>
    <mergeCell ref="B47:D47"/>
    <mergeCell ref="B9:F9"/>
    <mergeCell ref="B51:F51"/>
    <mergeCell ref="B45:F45"/>
  </mergeCells>
  <printOptions horizontalCentered="1"/>
  <pageMargins left="0.4" right="0.4" top="0.4" bottom="0.4" header="0.5" footer="0.5"/>
  <pageSetup paperSize="9" fitToHeight="0" orientation="landscape"/>
  <rowBreaks count="1" manualBreakCount="1">
    <brk id="6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E7A1E"/>
    <pageSetUpPr fitToPage="1"/>
  </sheetPr>
  <dimension ref="A1:G66"/>
  <sheetViews>
    <sheetView showGridLines="0" workbookViewId="0"/>
  </sheetViews>
  <sheetFormatPr baseColWidth="10" defaultColWidth="9.140625" defaultRowHeight="15" x14ac:dyDescent="0.25"/>
  <cols>
    <col min="1" max="1" width="2.140625" customWidth="1"/>
    <col min="2" max="2" width="74" customWidth="1"/>
    <col min="3" max="6" width="16" customWidth="1"/>
    <col min="7" max="7" width="2.140625" customWidth="1"/>
    <col min="26" max="26" width="9.140625" customWidth="1"/>
  </cols>
  <sheetData>
    <row r="1" spans="1:7" ht="6" customHeight="1" x14ac:dyDescent="0.25">
      <c r="A1" s="1"/>
      <c r="B1" s="1"/>
      <c r="C1" s="1"/>
      <c r="D1" s="1"/>
      <c r="E1" s="1"/>
      <c r="F1" s="1"/>
      <c r="G1" s="1"/>
    </row>
    <row r="2" spans="1:7" ht="18" customHeight="1" x14ac:dyDescent="0.25">
      <c r="A2" s="1"/>
      <c r="B2" s="2" t="s">
        <v>0</v>
      </c>
      <c r="C2" s="1"/>
      <c r="D2" s="24" t="s">
        <v>1</v>
      </c>
      <c r="E2" s="21"/>
      <c r="F2" s="21"/>
      <c r="G2" s="1"/>
    </row>
    <row r="3" spans="1:7" ht="30" customHeight="1" x14ac:dyDescent="0.25">
      <c r="A3" s="1"/>
      <c r="B3" s="35" t="s">
        <v>64</v>
      </c>
      <c r="C3" s="21"/>
      <c r="D3" s="21"/>
      <c r="E3" s="21"/>
      <c r="F3" s="21"/>
      <c r="G3" s="1"/>
    </row>
    <row r="4" spans="1:7" ht="18.95" customHeight="1" x14ac:dyDescent="0.25">
      <c r="A4" s="1"/>
      <c r="B4" s="25" t="s">
        <v>3</v>
      </c>
      <c r="C4" s="21"/>
      <c r="D4" s="21"/>
      <c r="E4" s="21"/>
      <c r="F4" s="21"/>
      <c r="G4" s="1"/>
    </row>
    <row r="5" spans="1:7" ht="8.1" customHeight="1" x14ac:dyDescent="0.25">
      <c r="A5" s="1"/>
      <c r="B5" s="1"/>
      <c r="C5" s="1"/>
      <c r="D5" s="1"/>
      <c r="E5" s="1"/>
      <c r="F5" s="1"/>
      <c r="G5" s="1"/>
    </row>
    <row r="6" spans="1:7" ht="9.9499999999999993" customHeight="1" x14ac:dyDescent="0.25"/>
    <row r="7" spans="1:7" ht="30" customHeight="1" x14ac:dyDescent="0.25">
      <c r="B7" s="38" t="s">
        <v>65</v>
      </c>
      <c r="C7" s="32"/>
      <c r="D7" s="32"/>
      <c r="E7" s="32"/>
      <c r="F7" s="32"/>
    </row>
    <row r="8" spans="1:7" ht="9.9499999999999993" customHeight="1" x14ac:dyDescent="0.25"/>
    <row r="9" spans="1:7" ht="6.95" customHeight="1" x14ac:dyDescent="0.25"/>
    <row r="10" spans="1:7" ht="24" customHeight="1" x14ac:dyDescent="0.25">
      <c r="A10" s="3"/>
      <c r="B10" s="20" t="s">
        <v>10</v>
      </c>
      <c r="C10" s="21"/>
      <c r="D10" s="21"/>
      <c r="E10" s="21"/>
      <c r="F10" s="21"/>
    </row>
    <row r="11" spans="1:7" ht="30" customHeight="1" x14ac:dyDescent="0.25">
      <c r="B11" s="4" t="s">
        <v>11</v>
      </c>
      <c r="C11" s="5" t="s">
        <v>12</v>
      </c>
      <c r="D11" s="5" t="s">
        <v>13</v>
      </c>
      <c r="E11" s="5" t="s">
        <v>14</v>
      </c>
      <c r="F11" s="5" t="s">
        <v>15</v>
      </c>
    </row>
    <row r="12" spans="1:7" ht="18" customHeight="1" x14ac:dyDescent="0.25">
      <c r="B12" s="6" t="s">
        <v>16</v>
      </c>
      <c r="C12" s="7">
        <v>2024</v>
      </c>
      <c r="D12" s="7">
        <v>2025</v>
      </c>
      <c r="E12" s="7">
        <v>2026</v>
      </c>
      <c r="F12" s="7">
        <v>2027</v>
      </c>
    </row>
    <row r="13" spans="1:7" ht="18" customHeight="1" x14ac:dyDescent="0.25">
      <c r="B13" s="6" t="s">
        <v>17</v>
      </c>
      <c r="C13" s="8">
        <v>720000</v>
      </c>
      <c r="D13" s="8">
        <v>780000</v>
      </c>
      <c r="E13" s="8">
        <v>830000</v>
      </c>
      <c r="F13" s="8">
        <v>880000</v>
      </c>
    </row>
    <row r="14" spans="1:7" ht="18" customHeight="1" x14ac:dyDescent="0.25">
      <c r="B14" s="6" t="s">
        <v>18</v>
      </c>
      <c r="C14" s="8">
        <v>730000</v>
      </c>
      <c r="D14" s="8">
        <v>790000</v>
      </c>
      <c r="E14" s="8">
        <v>840000</v>
      </c>
      <c r="F14" s="8">
        <v>890000</v>
      </c>
    </row>
    <row r="15" spans="1:7" ht="18" customHeight="1" x14ac:dyDescent="0.25">
      <c r="B15" s="6" t="s">
        <v>19</v>
      </c>
      <c r="C15" s="8">
        <v>104000</v>
      </c>
      <c r="D15" s="8">
        <v>112000</v>
      </c>
      <c r="E15" s="8">
        <v>120000</v>
      </c>
      <c r="F15" s="8">
        <v>131000</v>
      </c>
    </row>
    <row r="16" spans="1:7" ht="18" customHeight="1" x14ac:dyDescent="0.25">
      <c r="B16" s="6" t="s">
        <v>20</v>
      </c>
      <c r="C16" s="8">
        <v>-12000</v>
      </c>
      <c r="D16" s="8">
        <v>-11000</v>
      </c>
      <c r="E16" s="8">
        <v>-10000</v>
      </c>
      <c r="F16" s="8">
        <v>-9000</v>
      </c>
    </row>
    <row r="17" spans="1:6" ht="18" customHeight="1" x14ac:dyDescent="0.25">
      <c r="B17" s="6" t="s">
        <v>21</v>
      </c>
      <c r="C17" s="8">
        <v>32000</v>
      </c>
      <c r="D17" s="8">
        <v>32000</v>
      </c>
      <c r="E17" s="8">
        <v>32000</v>
      </c>
      <c r="F17" s="8">
        <v>32000</v>
      </c>
    </row>
    <row r="18" spans="1:6" ht="18.95" customHeight="1" x14ac:dyDescent="0.25">
      <c r="B18" s="9" t="s">
        <v>22</v>
      </c>
      <c r="C18" s="10">
        <f>C15-C16+C17</f>
        <v>148000</v>
      </c>
      <c r="D18" s="10">
        <f>D15-D16+D17</f>
        <v>155000</v>
      </c>
      <c r="E18" s="10">
        <f>E15-E16+E17</f>
        <v>162000</v>
      </c>
      <c r="F18" s="10">
        <f>F15-F16+F17</f>
        <v>172000</v>
      </c>
    </row>
    <row r="19" spans="1:6" ht="29.25" customHeight="1" x14ac:dyDescent="0.25">
      <c r="B19" s="22" t="s">
        <v>23</v>
      </c>
      <c r="C19" s="23"/>
      <c r="D19" s="23"/>
      <c r="E19" s="23"/>
      <c r="F19" s="23"/>
    </row>
    <row r="20" spans="1:6" ht="9.9499999999999993" customHeight="1" x14ac:dyDescent="0.25"/>
    <row r="21" spans="1:6" ht="6.95" customHeight="1" x14ac:dyDescent="0.25"/>
    <row r="22" spans="1:6" ht="24" customHeight="1" x14ac:dyDescent="0.25">
      <c r="A22" s="3"/>
      <c r="B22" s="20" t="s">
        <v>24</v>
      </c>
      <c r="C22" s="21"/>
      <c r="D22" s="21"/>
      <c r="E22" s="21"/>
      <c r="F22" s="21"/>
    </row>
    <row r="23" spans="1:6" ht="29.25" customHeight="1" x14ac:dyDescent="0.25">
      <c r="B23" s="28" t="s">
        <v>25</v>
      </c>
      <c r="C23" s="23"/>
      <c r="D23" s="23"/>
      <c r="E23" s="23"/>
      <c r="F23" s="23"/>
    </row>
    <row r="24" spans="1:6" ht="18" customHeight="1" x14ac:dyDescent="0.25">
      <c r="B24" s="6" t="s">
        <v>26</v>
      </c>
      <c r="C24" s="8">
        <v>30000</v>
      </c>
      <c r="D24" s="8">
        <v>30000</v>
      </c>
      <c r="E24" s="8">
        <v>32000</v>
      </c>
      <c r="F24" s="8">
        <v>32000</v>
      </c>
    </row>
    <row r="25" spans="1:6" ht="18" customHeight="1" x14ac:dyDescent="0.25">
      <c r="B25" s="6" t="s">
        <v>27</v>
      </c>
      <c r="C25" s="8">
        <v>6000</v>
      </c>
      <c r="D25" s="8">
        <v>6000</v>
      </c>
      <c r="E25" s="8">
        <v>6000</v>
      </c>
      <c r="F25" s="8">
        <v>6000</v>
      </c>
    </row>
    <row r="26" spans="1:6" ht="18" customHeight="1" x14ac:dyDescent="0.25">
      <c r="B26" s="6" t="s">
        <v>28</v>
      </c>
      <c r="C26" s="8">
        <v>0</v>
      </c>
      <c r="D26" s="8">
        <v>0</v>
      </c>
      <c r="E26" s="8">
        <v>0</v>
      </c>
      <c r="F26" s="8">
        <v>0</v>
      </c>
    </row>
    <row r="27" spans="1:6" ht="18" customHeight="1" x14ac:dyDescent="0.25">
      <c r="B27" s="6" t="s">
        <v>29</v>
      </c>
      <c r="C27" s="8">
        <v>0</v>
      </c>
      <c r="D27" s="8">
        <v>0</v>
      </c>
      <c r="E27" s="8">
        <v>0</v>
      </c>
      <c r="F27" s="8">
        <v>0</v>
      </c>
    </row>
    <row r="28" spans="1:6" ht="18" customHeight="1" x14ac:dyDescent="0.25">
      <c r="B28" s="6" t="s">
        <v>30</v>
      </c>
      <c r="C28" s="8">
        <v>0</v>
      </c>
      <c r="D28" s="8">
        <v>0</v>
      </c>
      <c r="E28" s="8">
        <v>0</v>
      </c>
      <c r="F28" s="8">
        <v>0</v>
      </c>
    </row>
    <row r="29" spans="1:6" ht="18" customHeight="1" x14ac:dyDescent="0.25">
      <c r="B29" s="6" t="s">
        <v>31</v>
      </c>
      <c r="C29" s="8">
        <v>0</v>
      </c>
      <c r="D29" s="8">
        <v>0</v>
      </c>
      <c r="E29" s="8">
        <v>0</v>
      </c>
      <c r="F29" s="8">
        <v>0</v>
      </c>
    </row>
    <row r="30" spans="1:6" ht="18.95" customHeight="1" x14ac:dyDescent="0.25">
      <c r="B30" s="9" t="s">
        <v>32</v>
      </c>
      <c r="C30" s="10">
        <f>SUM(C24:C29)</f>
        <v>36000</v>
      </c>
      <c r="D30" s="10">
        <f>SUM(D24:D29)</f>
        <v>36000</v>
      </c>
      <c r="E30" s="10">
        <f>SUM(E24:E29)</f>
        <v>38000</v>
      </c>
      <c r="F30" s="10">
        <f>SUM(F24:F29)</f>
        <v>38000</v>
      </c>
    </row>
    <row r="31" spans="1:6" ht="24" customHeight="1" x14ac:dyDescent="0.25">
      <c r="B31" s="11" t="s">
        <v>33</v>
      </c>
      <c r="C31" s="12">
        <f>C18+C30</f>
        <v>184000</v>
      </c>
      <c r="D31" s="12">
        <f>D18+D30</f>
        <v>191000</v>
      </c>
      <c r="E31" s="12">
        <f>E18+E30</f>
        <v>200000</v>
      </c>
      <c r="F31" s="12">
        <f>F18+F30</f>
        <v>210000</v>
      </c>
    </row>
    <row r="32" spans="1:6" ht="18" customHeight="1" x14ac:dyDescent="0.25">
      <c r="B32" s="13" t="s">
        <v>34</v>
      </c>
      <c r="C32" s="14">
        <f>IFERROR(C31/C14,"")</f>
        <v>0.25205479452054796</v>
      </c>
      <c r="D32" s="14">
        <f>IFERROR(D31/D14,"")</f>
        <v>0.24177215189873419</v>
      </c>
      <c r="E32" s="14">
        <f>IFERROR(E31/E14,"")</f>
        <v>0.23809523809523808</v>
      </c>
      <c r="F32" s="14">
        <f>IFERROR(F31/F14,"")</f>
        <v>0.23595505617977527</v>
      </c>
    </row>
    <row r="33" spans="1:6" ht="18" customHeight="1" x14ac:dyDescent="0.25">
      <c r="B33" s="22" t="s">
        <v>35</v>
      </c>
      <c r="C33" s="23"/>
      <c r="D33" s="23"/>
      <c r="E33" s="23"/>
      <c r="F33" s="23"/>
    </row>
    <row r="34" spans="1:6" ht="9.9499999999999993" customHeight="1" x14ac:dyDescent="0.25"/>
    <row r="35" spans="1:6" ht="6.95" customHeight="1" x14ac:dyDescent="0.25"/>
    <row r="36" spans="1:6" ht="24" customHeight="1" x14ac:dyDescent="0.25">
      <c r="A36" s="3"/>
      <c r="B36" s="20" t="s">
        <v>36</v>
      </c>
      <c r="C36" s="21"/>
      <c r="D36" s="21"/>
      <c r="E36" s="21"/>
      <c r="F36" s="21"/>
    </row>
    <row r="37" spans="1:6" ht="29.25" customHeight="1" x14ac:dyDescent="0.25">
      <c r="B37" s="28" t="s">
        <v>37</v>
      </c>
      <c r="C37" s="23"/>
      <c r="D37" s="23"/>
      <c r="E37" s="23"/>
      <c r="F37" s="23"/>
    </row>
    <row r="38" spans="1:6" ht="18.95" customHeight="1" x14ac:dyDescent="0.25">
      <c r="B38" s="6" t="s">
        <v>38</v>
      </c>
      <c r="C38" s="15">
        <v>0.15</v>
      </c>
      <c r="D38" s="15">
        <v>0.35</v>
      </c>
      <c r="E38" s="15">
        <v>0.35</v>
      </c>
      <c r="F38" s="15">
        <v>0.15</v>
      </c>
    </row>
    <row r="39" spans="1:6" ht="18" customHeight="1" x14ac:dyDescent="0.25">
      <c r="B39" s="22" t="str">
        <f>IF(SUM(C38:F38)=1,"Gewichtung ergibt 100 % – passt.","Achtung: Die Gewichtung ergibt "&amp;TEXT(SUM(C38:F38),"0 %")&amp;". Bitte auf 100 % anpassen.")</f>
        <v>Gewichtung ergibt 100 % – passt.</v>
      </c>
      <c r="C39" s="23"/>
      <c r="D39" s="23"/>
      <c r="E39" s="23"/>
      <c r="F39" s="23"/>
    </row>
    <row r="40" spans="1:6" ht="3.95" customHeight="1" x14ac:dyDescent="0.25"/>
    <row r="41" spans="1:6" ht="26.1" customHeight="1" x14ac:dyDescent="0.25">
      <c r="B41" s="29" t="s">
        <v>39</v>
      </c>
      <c r="C41" s="30"/>
      <c r="D41" s="30"/>
      <c r="E41" s="33">
        <f>SUMPRODUCT(C31:F31,C38:F38)</f>
        <v>195950</v>
      </c>
      <c r="F41" s="30"/>
    </row>
    <row r="42" spans="1:6" ht="9.9499999999999993" customHeight="1" x14ac:dyDescent="0.25"/>
    <row r="43" spans="1:6" ht="6.95" customHeight="1" x14ac:dyDescent="0.25"/>
    <row r="44" spans="1:6" ht="24" customHeight="1" x14ac:dyDescent="0.25">
      <c r="A44" s="3"/>
      <c r="B44" s="20" t="s">
        <v>40</v>
      </c>
      <c r="C44" s="21"/>
      <c r="D44" s="21"/>
      <c r="E44" s="21"/>
      <c r="F44" s="21"/>
    </row>
    <row r="45" spans="1:6" ht="29.25" customHeight="1" x14ac:dyDescent="0.25">
      <c r="B45" s="28" t="s">
        <v>41</v>
      </c>
      <c r="C45" s="23"/>
      <c r="D45" s="23"/>
      <c r="E45" s="23"/>
      <c r="F45" s="23"/>
    </row>
    <row r="46" spans="1:6" ht="18" customHeight="1" x14ac:dyDescent="0.25">
      <c r="D46" s="16" t="s">
        <v>42</v>
      </c>
      <c r="E46" s="16" t="s">
        <v>43</v>
      </c>
      <c r="F46" s="16" t="s">
        <v>44</v>
      </c>
    </row>
    <row r="47" spans="1:6" ht="21" customHeight="1" x14ac:dyDescent="0.25">
      <c r="B47" s="6" t="s">
        <v>45</v>
      </c>
      <c r="D47" s="17">
        <v>3.5</v>
      </c>
      <c r="E47" s="17">
        <v>4</v>
      </c>
      <c r="F47" s="17">
        <v>5</v>
      </c>
    </row>
    <row r="48" spans="1:6" ht="9.9499999999999993" customHeight="1" x14ac:dyDescent="0.25"/>
    <row r="49" spans="1:6" ht="6.95" customHeight="1" x14ac:dyDescent="0.25"/>
    <row r="50" spans="1:6" ht="24" customHeight="1" x14ac:dyDescent="0.25">
      <c r="A50" s="3"/>
      <c r="B50" s="20" t="s">
        <v>46</v>
      </c>
      <c r="C50" s="21"/>
      <c r="D50" s="21"/>
      <c r="E50" s="21"/>
      <c r="F50" s="21"/>
    </row>
    <row r="51" spans="1:6" ht="18" customHeight="1" x14ac:dyDescent="0.25">
      <c r="D51" s="16" t="s">
        <v>42</v>
      </c>
      <c r="E51" s="16" t="s">
        <v>43</v>
      </c>
      <c r="F51" s="16" t="s">
        <v>44</v>
      </c>
    </row>
    <row r="52" spans="1:6" ht="32.1" customHeight="1" x14ac:dyDescent="0.25">
      <c r="A52" s="3"/>
      <c r="B52" s="37" t="s">
        <v>47</v>
      </c>
      <c r="C52" s="21"/>
      <c r="D52" s="18">
        <f>$E$41*D47</f>
        <v>685825</v>
      </c>
      <c r="E52" s="18">
        <f>$E$41*E47</f>
        <v>783800</v>
      </c>
      <c r="F52" s="18">
        <f>$E$41*F47</f>
        <v>979750</v>
      </c>
    </row>
    <row r="53" spans="1:6" ht="29.25" customHeight="1" x14ac:dyDescent="0.25">
      <c r="B53" s="36" t="s">
        <v>48</v>
      </c>
      <c r="C53" s="23"/>
      <c r="D53" s="23"/>
      <c r="E53" s="23"/>
      <c r="F53" s="23"/>
    </row>
    <row r="54" spans="1:6" ht="9.9499999999999993" customHeight="1" x14ac:dyDescent="0.25"/>
    <row r="55" spans="1:6" ht="6.95" customHeight="1" x14ac:dyDescent="0.25"/>
    <row r="56" spans="1:6" ht="24" customHeight="1" x14ac:dyDescent="0.25">
      <c r="A56" s="3"/>
      <c r="B56" s="20" t="s">
        <v>49</v>
      </c>
      <c r="C56" s="21"/>
      <c r="D56" s="21"/>
      <c r="E56" s="21"/>
      <c r="F56" s="21"/>
    </row>
    <row r="57" spans="1:6" ht="48" customHeight="1" x14ac:dyDescent="0.25">
      <c r="B57" s="31" t="s">
        <v>50</v>
      </c>
      <c r="C57" s="32"/>
      <c r="D57" s="32"/>
      <c r="E57" s="32"/>
      <c r="F57" s="32"/>
    </row>
    <row r="58" spans="1:6" ht="6" customHeight="1" x14ac:dyDescent="0.25"/>
    <row r="59" spans="1:6" ht="42" customHeight="1" x14ac:dyDescent="0.25">
      <c r="B59" s="19" t="s">
        <v>51</v>
      </c>
      <c r="C59" s="26" t="s">
        <v>52</v>
      </c>
      <c r="D59" s="27"/>
      <c r="E59" s="27"/>
      <c r="F59" s="27"/>
    </row>
    <row r="60" spans="1:6" ht="42" customHeight="1" x14ac:dyDescent="0.25">
      <c r="B60" s="19" t="s">
        <v>53</v>
      </c>
      <c r="C60" s="26" t="s">
        <v>54</v>
      </c>
      <c r="D60" s="27"/>
      <c r="E60" s="27"/>
      <c r="F60" s="27"/>
    </row>
    <row r="61" spans="1:6" ht="42" customHeight="1" x14ac:dyDescent="0.25">
      <c r="B61" s="19" t="s">
        <v>55</v>
      </c>
      <c r="C61" s="26" t="s">
        <v>56</v>
      </c>
      <c r="D61" s="27"/>
      <c r="E61" s="27"/>
      <c r="F61" s="27"/>
    </row>
    <row r="62" spans="1:6" ht="42" customHeight="1" x14ac:dyDescent="0.25">
      <c r="B62" s="19" t="s">
        <v>57</v>
      </c>
      <c r="C62" s="26" t="s">
        <v>58</v>
      </c>
      <c r="D62" s="27"/>
      <c r="E62" s="27"/>
      <c r="F62" s="27"/>
    </row>
    <row r="63" spans="1:6" ht="42" customHeight="1" x14ac:dyDescent="0.25">
      <c r="B63" s="19" t="s">
        <v>59</v>
      </c>
      <c r="C63" s="26" t="s">
        <v>60</v>
      </c>
      <c r="D63" s="27"/>
      <c r="E63" s="27"/>
      <c r="F63" s="27"/>
    </row>
    <row r="64" spans="1:6" ht="42" customHeight="1" x14ac:dyDescent="0.25">
      <c r="B64" s="19" t="s">
        <v>61</v>
      </c>
      <c r="C64" s="26" t="s">
        <v>62</v>
      </c>
      <c r="D64" s="27"/>
      <c r="E64" s="27"/>
      <c r="F64" s="27"/>
    </row>
    <row r="65" spans="2:6" ht="12" customHeight="1" x14ac:dyDescent="0.25"/>
    <row r="66" spans="2:6" ht="27.75" customHeight="1" x14ac:dyDescent="0.25">
      <c r="B66" s="34" t="s">
        <v>63</v>
      </c>
      <c r="C66" s="27"/>
      <c r="D66" s="27"/>
      <c r="E66" s="27"/>
      <c r="F66" s="27"/>
    </row>
  </sheetData>
  <mergeCells count="28">
    <mergeCell ref="B66:F66"/>
    <mergeCell ref="B22:F22"/>
    <mergeCell ref="B56:F56"/>
    <mergeCell ref="B52:C52"/>
    <mergeCell ref="B39:F39"/>
    <mergeCell ref="C62:F62"/>
    <mergeCell ref="B23:F23"/>
    <mergeCell ref="B57:F57"/>
    <mergeCell ref="B44:F44"/>
    <mergeCell ref="B53:F53"/>
    <mergeCell ref="C64:F64"/>
    <mergeCell ref="B41:D41"/>
    <mergeCell ref="B37:F37"/>
    <mergeCell ref="C63:F63"/>
    <mergeCell ref="B33:F33"/>
    <mergeCell ref="E41:F41"/>
    <mergeCell ref="D2:F2"/>
    <mergeCell ref="B4:F4"/>
    <mergeCell ref="B7:F7"/>
    <mergeCell ref="C61:F61"/>
    <mergeCell ref="B3:F3"/>
    <mergeCell ref="B10:F10"/>
    <mergeCell ref="B19:F19"/>
    <mergeCell ref="C59:F59"/>
    <mergeCell ref="B45:F45"/>
    <mergeCell ref="B36:F36"/>
    <mergeCell ref="B50:F50"/>
    <mergeCell ref="C60:F60"/>
  </mergeCells>
  <printOptions horizontalCentered="1"/>
  <pageMargins left="0.4" right="0.4" top="0.4" bottom="0.4" header="0.5" footer="0.5"/>
  <pageSetup paperSize="9" fitToHeight="0" orientation="landscape"/>
  <rowBreaks count="1" manualBreakCount="1">
    <brk id="55"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Bewertung</vt:lpstr>
      <vt:lpstr>Beispiel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DUB Bewertungs-Template</dc:title>
  <dc:creator>Deutsche Unternehmerbörse DUB.de GmbH</dc:creator>
  <dc:description>Verkäufer-Academy, Modul 4: Was ist mein Unternehmen wert?</dc:description>
  <cp:lastModifiedBy>Graig Gröbli</cp:lastModifiedBy>
  <dcterms:created xsi:type="dcterms:W3CDTF">2026-09-14T06:36:57Z</dcterms:created>
  <dcterms:modified xsi:type="dcterms:W3CDTF">2026-09-14T07:57:17Z</dcterms:modified>
</cp:coreProperties>
</file>