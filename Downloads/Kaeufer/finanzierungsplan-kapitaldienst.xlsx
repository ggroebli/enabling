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ealcircle-my.sharepoint.com/personal/graig_groebli_dealcircle_com/Documents/Misc/Dokumente/Enablement VS Project/Downloads/Kaeufer/"/>
    </mc:Choice>
  </mc:AlternateContent>
  <xr:revisionPtr revIDLastSave="162" documentId="11_E348A67B33E358E1F3AD73EFBC8283F71A0B9749" xr6:coauthVersionLast="47" xr6:coauthVersionMax="47" xr10:uidLastSave="{2D4788C8-D6D2-48EF-9816-C7C87E322090}"/>
  <bookViews>
    <workbookView xWindow="-120" yWindow="-120" windowWidth="38640" windowHeight="21120" xr2:uid="{00000000-000D-0000-FFFF-FFFF00000000}"/>
  </bookViews>
  <sheets>
    <sheet name="Finanzierungsplan" sheetId="1" r:id="rId1"/>
    <sheet name="Kapitaldiens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6" i="2" l="1"/>
  <c r="D45" i="2"/>
  <c r="D44" i="2"/>
  <c r="D43" i="2"/>
  <c r="C24" i="2"/>
  <c r="C36" i="2" s="1"/>
  <c r="C19" i="2"/>
  <c r="C40" i="1"/>
  <c r="C41" i="1" s="1"/>
  <c r="C42" i="1" s="1"/>
  <c r="B43" i="1" s="1"/>
  <c r="C33" i="1"/>
  <c r="C34" i="1" s="1"/>
  <c r="C24" i="1"/>
  <c r="D34" i="1" s="1"/>
  <c r="C27" i="2" l="1"/>
  <c r="C29" i="2" s="1"/>
  <c r="C46" i="2" l="1"/>
  <c r="C43" i="2"/>
  <c r="C45" i="2"/>
  <c r="C44" i="2"/>
  <c r="C34" i="2"/>
  <c r="B35" i="2" s="1"/>
</calcChain>
</file>

<file path=xl/sharedStrings.xml><?xml version="1.0" encoding="utf-8"?>
<sst xmlns="http://schemas.openxmlformats.org/spreadsheetml/2006/main" count="84" uniqueCount="78">
  <si>
    <t>DUB  ·  KÄUFER-ACADEMY</t>
  </si>
  <si>
    <t>MODUL 7 · AKQUISITIONSFINANZIERUNG</t>
  </si>
  <si>
    <t>Finanzierungsplan</t>
  </si>
  <si>
    <t>Was am Tag 1 bezahlt werden muss – und woher das Geld kommt</t>
  </si>
  <si>
    <t xml:space="preserve">  ▶   SO GEHST DU VOR</t>
  </si>
  <si>
    <t>1.  Trage in Abschnitt 1 deinen Kapitalbedarf ein. Der Kaufpreis ist nur ein Teil davon: Beratung, Notar und eine Reserve für die ersten Monate kommen dazu.</t>
  </si>
  <si>
    <t>2.  Verteile in Abschnitt 2 den Bedarf auf die Bausteine. Die Prüfzeile zeigt dir, ob die Rechnung aufgeht.</t>
  </si>
  <si>
    <t>3.  Abschnitt 3 rechnet aus, was die Bank davon als Eigenkapital anerkennt. Das ist fast immer weniger, als du selbst zusammenzählst.</t>
  </si>
  <si>
    <t>Die orange hinterlegten Felder füllst du aus. Alles andere rechnet sich.</t>
  </si>
  <si>
    <t xml:space="preserve">  1   KAPITALBEDARF</t>
  </si>
  <si>
    <t>Kaufpreis</t>
  </si>
  <si>
    <t>Ergebnis deiner Preisbrücke aus dem Bewertungs-Template</t>
  </si>
  <si>
    <t>Beratung: Anwalt, Steuerberater, Prüfung</t>
  </si>
  <si>
    <t>Bei kleinen Deals grob 5 bis 10 % des Kaufpreises</t>
  </si>
  <si>
    <t>Notar und Registerkosten</t>
  </si>
  <si>
    <t>Beim Share Deal Pflicht, beim Asset Deal je nach Gegenstand</t>
  </si>
  <si>
    <t>Grunderwerbsteuer</t>
  </si>
  <si>
    <t>Nur wenn eine Immobilie mit übergeht</t>
  </si>
  <si>
    <t>Liquiditätsreserve für die ersten Monate</t>
  </si>
  <si>
    <t>Puffer für Anlaufkosten und schwankende Zahlungseingänge</t>
  </si>
  <si>
    <t>Weiterer Bedarf (frei)</t>
  </si>
  <si>
    <t>= GESAMTER KAPITALBEDARF</t>
  </si>
  <si>
    <t>Auf diese Summe bezieht die Bank deine Eigenkapitalquote</t>
  </si>
  <si>
    <t xml:space="preserve">  2   WOHER DAS GELD KOMMT</t>
  </si>
  <si>
    <t>Echtes Eigenkapital</t>
  </si>
  <si>
    <t>Konto, Wertpapiere, Mitinvestoren, Familiendarlehen mit Rangrücktritt</t>
  </si>
  <si>
    <t>Verkäuferdarlehen, nachrangig</t>
  </si>
  <si>
    <t>Nur mit qualifiziertem Rangrücktritt und tilgungsfreien Anfangsjahren</t>
  </si>
  <si>
    <t>Mezzanine oder stille Beteiligung</t>
  </si>
  <si>
    <t>Zum Beispiel über die Beteiligungsgesellschaft deines Bundeslandes</t>
  </si>
  <si>
    <t>Bankdarlehen</t>
  </si>
  <si>
    <t>Der Rest. Diese Zahl trägt Blatt 2 in die Kapitaldienstrechnung</t>
  </si>
  <si>
    <t>= Summe der Mittel</t>
  </si>
  <si>
    <t>Differenz zum Kapitalbedarf</t>
  </si>
  <si>
    <t xml:space="preserve">  3   WAS DIE BANK ALS EIGENKAPITAL ANERKENNT</t>
  </si>
  <si>
    <t>Ein nachrangiges Verkäuferdarlehen zählt nur anteilig, in der Praxis häufig zur Hälfte – und höchstens bis zur Höhe deines echten Eigenkapitals. Mezzanine bleibt Fremdkapital, auch wenn es nachrangig ist.</t>
  </si>
  <si>
    <t>Anrechenbarer Teil des Verkäuferdarlehens</t>
  </si>
  <si>
    <t>Die Hälfte, gedeckelt auf dein echtes Eigenkapital</t>
  </si>
  <si>
    <t>= Wirtschaftliches Eigenkapital</t>
  </si>
  <si>
    <t>Quote am Kapitalbedarf</t>
  </si>
  <si>
    <t>Banken erwarten mindestens 10 bis 20 %, ohne Branchenerfahrung eher mehr</t>
  </si>
  <si>
    <t>Diese Vorlage dient der Orientierung und ersetzt keine Rechts-, Steuer- oder Finanzberatung.    DUB · info@dub.de · www.dub.de    © 2026 Deutsche Unternehmerbörse DUB.de GmbH</t>
  </si>
  <si>
    <t>Kapitaldienst</t>
  </si>
  <si>
    <t>Verdient das Unternehmen genug, um dein Darlehen zu bedienen?</t>
  </si>
  <si>
    <t>Das Bankdarlehen kommt automatisch aus Blatt 1. Ergänze hier die Ertragskraft des Unternehmens und die Konditionen, die deine Bank nennt.</t>
  </si>
  <si>
    <t>Die Kennzahl unten ist die eine Rechnung, die jede Bank macht. Wer sie mitbringt, führt das Gespräch, statt es zu erleben.</t>
  </si>
  <si>
    <t xml:space="preserve">  1   WAS DAS UNTERNEHMEN ERWIRTSCHAFTET</t>
  </si>
  <si>
    <t>Bereinigtes EBITDA</t>
  </si>
  <si>
    <t>Aus deinem Bewertungs-Template, Abschnitt 2</t>
  </si>
  <si>
    <t>Davon verfügbar für den Kapitaldienst</t>
  </si>
  <si>
    <t>Faustregel 70 %. Produktion und Logistik eher weniger, Dienstleister mehr</t>
  </si>
  <si>
    <t>Der Rest wird gebraucht für Steuern, Erhaltungsinvestitionen, gebundenes Kapital im Tagesgeschäft und ein angemessenes Geschäftsführergehalt.</t>
  </si>
  <si>
    <t>= Verfügbarer Cashflow</t>
  </si>
  <si>
    <t xml:space="preserve">  2   WAS DER KREDIT JEDES JAHR KOSTET</t>
  </si>
  <si>
    <t>Kommt aus Blatt 1, Abschnitt 2</t>
  </si>
  <si>
    <t>Zinssatz</t>
  </si>
  <si>
    <t>Frag deine Bank. Ohne Angabe ist das hier nur eine Übung</t>
  </si>
  <si>
    <t>Laufzeit in Jahren</t>
  </si>
  <si>
    <t>Marktstandard sechs bis sieben. Wer zehn braucht, zahlt zu viel</t>
  </si>
  <si>
    <t>Jährliche Annuität für das Bankdarlehen</t>
  </si>
  <si>
    <t>Zins und Tilgung in gleichbleibenden Raten</t>
  </si>
  <si>
    <t>Zinsen auf Verkäuferdarlehen und Mezzanine</t>
  </si>
  <si>
    <t>Nur die Zinsen. Die Tilgung folgt erst nach der Bankphase</t>
  </si>
  <si>
    <t>= Gesamter Kapitaldienst pro Jahr</t>
  </si>
  <si>
    <t xml:space="preserve">  3   DAS ERGEBNIS</t>
  </si>
  <si>
    <t>Kapitaldienstfähigkeit</t>
  </si>
  <si>
    <t>Verfügbarer Cashflow geteilt durch Kapitaldienst</t>
  </si>
  <si>
    <t>Verschuldung im Verhältnis zum EBITDA</t>
  </si>
  <si>
    <t>Alle Darlehen zusammen. Wie viele Jahresgewinne bis zur Schuldenfreiheit?</t>
  </si>
  <si>
    <t xml:space="preserve">  4   WENN ES SCHLECHTER LÄUFT</t>
  </si>
  <si>
    <t>Banken rechnen nicht nur den Planfall. Sie senken das Ergebnis und schauen, ab wann die Rechnung kippt. Genau dieser Puffer ist der Grund, warum sie 1,5 sehen wollen und nicht 1,0.</t>
  </si>
  <si>
    <t>Szenario</t>
  </si>
  <si>
    <t>Verfügbarer Cashflow</t>
  </si>
  <si>
    <t>Planfall</t>
  </si>
  <si>
    <t>EBITDA minus 20 Prozent</t>
  </si>
  <si>
    <t>EBITDA minus 30 Prozent</t>
  </si>
  <si>
    <t>EBITDA minus 40 Prozent</t>
  </si>
  <si>
    <t>Kippt die Rechnung schon bei minus 20 Prozent, ist der Kaufpreis zu hoch oder die Struktur falsch. Beides lässt sich vor dem Bankgespräch ändern, danach nicht mehr.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</si>
</sst>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0\ &quot;€&quot;;[Red]\-#,##0\ &quot;€&quot;"/>
    <numFmt numFmtId="164" formatCode="#,##0\ &quot;€&quot;;[Red]\-#,##0\ &quot;€&quot;;&quot;&quot;"/>
    <numFmt numFmtId="165" formatCode="0.0\ %"/>
    <numFmt numFmtId="166" formatCode="0\ %"/>
  </numFmts>
  <fonts count="22" x14ac:knownFonts="1">
    <font>
      <sz val="11"/>
      <color theme="1"/>
      <name val="Calibri"/>
      <family val="2"/>
      <scheme val="minor"/>
    </font>
    <font>
      <b/>
      <sz val="10"/>
      <color rgb="FFC7D0DE"/>
      <name val="Calibri"/>
    </font>
    <font>
      <b/>
      <sz val="10"/>
      <color rgb="FFEE7A1E"/>
      <name val="Calibri"/>
    </font>
    <font>
      <b/>
      <sz val="20"/>
      <color rgb="FFFFFFFF"/>
      <name val="Calibri"/>
    </font>
    <font>
      <sz val="11"/>
      <color rgb="FFC7D0DE"/>
      <name val="Calibri"/>
    </font>
    <font>
      <b/>
      <sz val="11"/>
      <color rgb="FFFFFFFF"/>
      <name val="Calibri"/>
    </font>
    <font>
      <sz val="10"/>
      <color rgb="FF1A1A1A"/>
      <name val="Calibri"/>
    </font>
    <font>
      <i/>
      <sz val="9.5"/>
      <color rgb="FF8A94A6"/>
      <name val="Calibri"/>
    </font>
    <font>
      <sz val="10.5"/>
      <color rgb="FF1A1A1A"/>
      <name val="Calibri"/>
    </font>
    <font>
      <sz val="10.5"/>
      <color rgb="FFB35C0F"/>
      <name val="Calibri"/>
    </font>
    <font>
      <sz val="9.5"/>
      <color rgb="FF8A94A6"/>
      <name val="Calibri"/>
    </font>
    <font>
      <b/>
      <sz val="12"/>
      <color rgb="FF0F2744"/>
      <name val="Calibri"/>
    </font>
    <font>
      <b/>
      <sz val="10.5"/>
      <color rgb="FF1A1A1A"/>
      <name val="Calibri"/>
    </font>
    <font>
      <b/>
      <sz val="9.5"/>
      <color rgb="FF0F2744"/>
      <name val="Calibri"/>
    </font>
    <font>
      <b/>
      <sz val="11"/>
      <color rgb="FF1A1A1A"/>
      <name val="Calibri"/>
    </font>
    <font>
      <b/>
      <sz val="10"/>
      <color rgb="FF0F2744"/>
      <name val="Calibri"/>
    </font>
    <font>
      <sz val="9"/>
      <color rgb="FF8A94A6"/>
      <name val="Calibri"/>
    </font>
    <font>
      <b/>
      <sz val="14"/>
      <color rgb="FF0F2744"/>
      <name val="Calibri"/>
    </font>
    <font>
      <b/>
      <sz val="10"/>
      <color rgb="FF1A1A1A"/>
      <name val="Calibri"/>
    </font>
    <font>
      <b/>
      <sz val="10.5"/>
      <color rgb="FF0F2744"/>
      <name val="Calibri"/>
    </font>
    <font>
      <sz val="10"/>
      <color rgb="FF666666"/>
      <name val="Calibri"/>
    </font>
    <font>
      <sz val="9.5"/>
      <color rgb="FF666666"/>
      <name val="Calibri"/>
    </font>
  </fonts>
  <fills count="7">
    <fill>
      <patternFill patternType="none"/>
    </fill>
    <fill>
      <patternFill patternType="gray125"/>
    </fill>
    <fill>
      <patternFill patternType="solid">
        <fgColor rgb="FF0F2744"/>
      </patternFill>
    </fill>
    <fill>
      <patternFill patternType="solid">
        <fgColor rgb="FFEE7A1E"/>
      </patternFill>
    </fill>
    <fill>
      <patternFill patternType="solid">
        <fgColor rgb="FFFFF8EF"/>
      </patternFill>
    </fill>
    <fill>
      <patternFill patternType="solid">
        <fgColor rgb="FFFDEBD8"/>
      </patternFill>
    </fill>
    <fill>
      <patternFill patternType="solid">
        <fgColor rgb="FFEEF1F5"/>
      </patternFill>
    </fill>
  </fills>
  <borders count="7">
    <border>
      <left/>
      <right/>
      <top/>
      <bottom/>
      <diagonal/>
    </border>
    <border>
      <left/>
      <right/>
      <top/>
      <bottom style="thin">
        <color rgb="FFE5E7EB"/>
      </bottom>
      <diagonal/>
    </border>
    <border>
      <left style="thin">
        <color rgb="FFFFFFFF"/>
      </left>
      <right/>
      <top/>
      <bottom style="thin">
        <color rgb="FFE5E7EB"/>
      </bottom>
      <diagonal/>
    </border>
    <border>
      <left/>
      <right/>
      <top style="thin">
        <color rgb="FF0F2744"/>
      </top>
      <bottom style="thin">
        <color rgb="FFE5E7EB"/>
      </bottom>
      <diagonal/>
    </border>
    <border>
      <left/>
      <right/>
      <top style="thin">
        <color rgb="FF8A94A6"/>
      </top>
      <bottom style="thin">
        <color rgb="FFE5E7EB"/>
      </bottom>
      <diagonal/>
    </border>
    <border>
      <left/>
      <right/>
      <top style="thin">
        <color rgb="FFE5E7EB"/>
      </top>
      <bottom/>
      <diagonal/>
    </border>
    <border>
      <left/>
      <right/>
      <top/>
      <bottom style="medium">
        <color rgb="FFEE7A1E"/>
      </bottom>
      <diagonal/>
    </border>
  </borders>
  <cellStyleXfs count="1">
    <xf numFmtId="0" fontId="0" fillId="0" borderId="0"/>
  </cellStyleXfs>
  <cellXfs count="42">
    <xf numFmtId="0" fontId="0" fillId="0" borderId="0" xfId="0"/>
    <xf numFmtId="0" fontId="0" fillId="2" borderId="0" xfId="0" applyFill="1"/>
    <xf numFmtId="0" fontId="1" fillId="2" borderId="0" xfId="0" applyFont="1" applyFill="1" applyAlignment="1">
      <alignment horizontal="left" vertical="center"/>
    </xf>
    <xf numFmtId="0" fontId="2" fillId="2" borderId="0" xfId="0" applyFont="1" applyFill="1" applyAlignment="1">
      <alignment horizontal="right" vertical="center"/>
    </xf>
    <xf numFmtId="0" fontId="0" fillId="3" borderId="0" xfId="0" applyFill="1"/>
    <xf numFmtId="0" fontId="8" fillId="0" borderId="1" xfId="0" applyFont="1" applyBorder="1" applyAlignment="1">
      <alignment horizontal="left" vertical="center" wrapText="1"/>
    </xf>
    <xf numFmtId="6" fontId="9" fillId="4" borderId="2" xfId="0" applyNumberFormat="1" applyFont="1" applyFill="1" applyBorder="1" applyAlignment="1">
      <alignment horizontal="right" vertical="center"/>
    </xf>
    <xf numFmtId="0" fontId="10" fillId="0" borderId="1" xfId="0" applyFont="1" applyBorder="1" applyAlignment="1">
      <alignment horizontal="left" vertical="top" wrapText="1"/>
    </xf>
    <xf numFmtId="0" fontId="11" fillId="5" borderId="3" xfId="0" applyFont="1" applyFill="1" applyBorder="1" applyAlignment="1">
      <alignment horizontal="left" vertical="center" wrapText="1"/>
    </xf>
    <xf numFmtId="164" fontId="11" fillId="5" borderId="3" xfId="0" applyNumberFormat="1" applyFont="1" applyFill="1" applyBorder="1" applyAlignment="1">
      <alignment horizontal="right" vertical="center"/>
    </xf>
    <xf numFmtId="0" fontId="10" fillId="5" borderId="3" xfId="0" applyFont="1" applyFill="1" applyBorder="1" applyAlignment="1">
      <alignment horizontal="left" vertical="top" wrapText="1"/>
    </xf>
    <xf numFmtId="0" fontId="12" fillId="6" borderId="4" xfId="0" applyFont="1" applyFill="1" applyBorder="1" applyAlignment="1">
      <alignment horizontal="left" vertical="center" wrapText="1"/>
    </xf>
    <xf numFmtId="164" fontId="12" fillId="6" borderId="4" xfId="0" applyNumberFormat="1" applyFont="1" applyFill="1" applyBorder="1" applyAlignment="1">
      <alignment horizontal="right" vertical="center"/>
    </xf>
    <xf numFmtId="0" fontId="10" fillId="6" borderId="4" xfId="0" applyFont="1" applyFill="1" applyBorder="1" applyAlignment="1">
      <alignment horizontal="left" vertical="top" wrapText="1"/>
    </xf>
    <xf numFmtId="6" fontId="12" fillId="6" borderId="4" xfId="0" applyNumberFormat="1" applyFont="1" applyFill="1" applyBorder="1" applyAlignment="1">
      <alignment horizontal="right" vertical="center"/>
    </xf>
    <xf numFmtId="0" fontId="13" fillId="6" borderId="4" xfId="0" applyFont="1" applyFill="1" applyBorder="1" applyAlignment="1">
      <alignment horizontal="left" vertical="top" wrapText="1"/>
    </xf>
    <xf numFmtId="0" fontId="14" fillId="6" borderId="4" xfId="0" applyFont="1" applyFill="1" applyBorder="1" applyAlignment="1">
      <alignment horizontal="left" vertical="center" wrapText="1"/>
    </xf>
    <xf numFmtId="165" fontId="14" fillId="6" borderId="4" xfId="0" applyNumberFormat="1" applyFont="1" applyFill="1" applyBorder="1" applyAlignment="1">
      <alignment horizontal="right" vertical="center"/>
    </xf>
    <xf numFmtId="166" fontId="9" fillId="4" borderId="2" xfId="0" applyNumberFormat="1" applyFont="1" applyFill="1" applyBorder="1" applyAlignment="1">
      <alignment horizontal="right" vertical="center"/>
    </xf>
    <xf numFmtId="165" fontId="9" fillId="4" borderId="2" xfId="0" applyNumberFormat="1" applyFont="1" applyFill="1" applyBorder="1" applyAlignment="1">
      <alignment horizontal="right" vertical="center"/>
    </xf>
    <xf numFmtId="1" fontId="9" fillId="4" borderId="2" xfId="0" applyNumberFormat="1" applyFont="1" applyFill="1" applyBorder="1" applyAlignment="1">
      <alignment horizontal="right" vertical="center"/>
    </xf>
    <xf numFmtId="0" fontId="17" fillId="5" borderId="3" xfId="0" applyFont="1" applyFill="1" applyBorder="1" applyAlignment="1">
      <alignment horizontal="left" vertical="center" wrapText="1"/>
    </xf>
    <xf numFmtId="2" fontId="17" fillId="5" borderId="3" xfId="0" applyNumberFormat="1" applyFont="1" applyFill="1" applyBorder="1" applyAlignment="1">
      <alignment horizontal="right" vertical="center"/>
    </xf>
    <xf numFmtId="0" fontId="18" fillId="6" borderId="4" xfId="0" applyFont="1" applyFill="1" applyBorder="1" applyAlignment="1">
      <alignment horizontal="left" vertical="center" wrapText="1"/>
    </xf>
    <xf numFmtId="2" fontId="18" fillId="6" borderId="4" xfId="0" applyNumberFormat="1" applyFont="1" applyFill="1" applyBorder="1" applyAlignment="1">
      <alignment horizontal="right" vertical="center"/>
    </xf>
    <xf numFmtId="0" fontId="13" fillId="0" borderId="6" xfId="0" applyFont="1" applyBorder="1" applyAlignment="1">
      <alignment horizontal="left" wrapText="1"/>
    </xf>
    <xf numFmtId="0" fontId="13" fillId="0" borderId="6" xfId="0" applyFont="1" applyBorder="1" applyAlignment="1">
      <alignment horizontal="right" wrapText="1"/>
    </xf>
    <xf numFmtId="0" fontId="19" fillId="0" borderId="1" xfId="0" applyFont="1" applyBorder="1" applyAlignment="1">
      <alignment horizontal="left" vertical="center" wrapText="1"/>
    </xf>
    <xf numFmtId="2" fontId="12" fillId="0" borderId="1" xfId="0" applyNumberFormat="1" applyFont="1" applyBorder="1" applyAlignment="1">
      <alignment horizontal="right" vertical="center"/>
    </xf>
    <xf numFmtId="164" fontId="20" fillId="0" borderId="1" xfId="0" applyNumberFormat="1" applyFont="1" applyBorder="1" applyAlignment="1">
      <alignment horizontal="right" vertical="center"/>
    </xf>
    <xf numFmtId="0" fontId="6" fillId="0" borderId="0" xfId="0" applyFont="1" applyAlignment="1">
      <alignment horizontal="left" vertical="top" wrapText="1"/>
    </xf>
    <xf numFmtId="0" fontId="0" fillId="0" borderId="0" xfId="0"/>
    <xf numFmtId="0" fontId="3" fillId="2" borderId="0" xfId="0" applyFont="1" applyFill="1" applyAlignment="1">
      <alignment horizontal="left" vertical="center"/>
    </xf>
    <xf numFmtId="0" fontId="0" fillId="2" borderId="0" xfId="0" applyFill="1"/>
    <xf numFmtId="0" fontId="5" fillId="2" borderId="0" xfId="0" applyFont="1" applyFill="1" applyAlignment="1">
      <alignment horizontal="left" vertical="center"/>
    </xf>
    <xf numFmtId="0" fontId="16" fillId="0" borderId="5" xfId="0" applyFont="1" applyBorder="1" applyAlignment="1">
      <alignment horizontal="left" vertical="top" wrapText="1"/>
    </xf>
    <xf numFmtId="0" fontId="0" fillId="0" borderId="5" xfId="0" applyBorder="1"/>
    <xf numFmtId="0" fontId="4" fillId="2" borderId="0" xfId="0" applyFont="1" applyFill="1" applyAlignment="1">
      <alignment horizontal="left" vertical="center"/>
    </xf>
    <xf numFmtId="0" fontId="7" fillId="0" borderId="0" xfId="0" applyFont="1" applyAlignment="1">
      <alignment horizontal="left" vertical="top" wrapText="1"/>
    </xf>
    <xf numFmtId="0" fontId="15" fillId="5" borderId="0" xfId="0" applyFont="1" applyFill="1" applyAlignment="1">
      <alignment horizontal="left" vertical="top" wrapText="1"/>
    </xf>
    <xf numFmtId="0" fontId="0" fillId="5" borderId="0" xfId="0" applyFill="1"/>
    <xf numFmtId="0" fontId="21" fillId="0" borderId="0" xfId="0" applyFont="1" applyAlignment="1">
      <alignment horizontal="left"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F2744"/>
    <pageSetUpPr fitToPage="1"/>
  </sheetPr>
  <dimension ref="A1:E45"/>
  <sheetViews>
    <sheetView showGridLines="0" tabSelected="1" workbookViewId="0"/>
  </sheetViews>
  <sheetFormatPr baseColWidth="10" defaultColWidth="9.140625" defaultRowHeight="15" x14ac:dyDescent="0.25"/>
  <cols>
    <col min="1" max="1" width="2.140625" customWidth="1"/>
    <col min="2" max="2" width="62" customWidth="1"/>
    <col min="3" max="3" width="18" customWidth="1"/>
    <col min="4" max="4" width="46" customWidth="1"/>
    <col min="5" max="5" width="2.140625" customWidth="1"/>
    <col min="26" max="26" width="9.140625" customWidth="1"/>
  </cols>
  <sheetData>
    <row r="1" spans="1:5" ht="6" customHeight="1" x14ac:dyDescent="0.25">
      <c r="A1" s="1"/>
      <c r="B1" s="1"/>
      <c r="C1" s="1"/>
      <c r="D1" s="1"/>
      <c r="E1" s="1"/>
    </row>
    <row r="2" spans="1:5" ht="18" customHeight="1" x14ac:dyDescent="0.25">
      <c r="A2" s="1"/>
      <c r="B2" s="2" t="s">
        <v>0</v>
      </c>
      <c r="C2" s="1"/>
      <c r="D2" s="3" t="s">
        <v>1</v>
      </c>
      <c r="E2" s="1"/>
    </row>
    <row r="3" spans="1:5" ht="30" customHeight="1" x14ac:dyDescent="0.25">
      <c r="A3" s="1"/>
      <c r="B3" s="32" t="s">
        <v>2</v>
      </c>
      <c r="C3" s="33"/>
      <c r="D3" s="33"/>
      <c r="E3" s="1"/>
    </row>
    <row r="4" spans="1:5" ht="18.95" customHeight="1" x14ac:dyDescent="0.25">
      <c r="A4" s="1"/>
      <c r="B4" s="37" t="s">
        <v>3</v>
      </c>
      <c r="C4" s="33"/>
      <c r="D4" s="33"/>
      <c r="E4" s="1"/>
    </row>
    <row r="5" spans="1:5" ht="8.1" customHeight="1" x14ac:dyDescent="0.25">
      <c r="A5" s="1"/>
      <c r="B5" s="1"/>
      <c r="C5" s="1"/>
      <c r="D5" s="1"/>
      <c r="E5" s="1"/>
    </row>
    <row r="6" spans="1:5" ht="9.9499999999999993" customHeight="1" x14ac:dyDescent="0.25"/>
    <row r="7" spans="1:5" ht="6.95" customHeight="1" x14ac:dyDescent="0.25"/>
    <row r="8" spans="1:5" ht="24" customHeight="1" x14ac:dyDescent="0.25">
      <c r="A8" s="4"/>
      <c r="B8" s="34" t="s">
        <v>4</v>
      </c>
      <c r="C8" s="33"/>
      <c r="D8" s="33"/>
    </row>
    <row r="9" spans="1:5" ht="5.0999999999999996" customHeight="1" x14ac:dyDescent="0.25"/>
    <row r="10" spans="1:5" ht="29.25" customHeight="1" x14ac:dyDescent="0.25">
      <c r="B10" s="30" t="s">
        <v>5</v>
      </c>
      <c r="C10" s="31"/>
      <c r="D10" s="31"/>
    </row>
    <row r="11" spans="1:5" ht="18" customHeight="1" x14ac:dyDescent="0.25">
      <c r="B11" s="30" t="s">
        <v>6</v>
      </c>
      <c r="C11" s="31"/>
      <c r="D11" s="31"/>
    </row>
    <row r="12" spans="1:5" ht="18" customHeight="1" x14ac:dyDescent="0.25">
      <c r="B12" s="30" t="s">
        <v>7</v>
      </c>
      <c r="C12" s="31"/>
      <c r="D12" s="31"/>
    </row>
    <row r="13" spans="1:5" ht="18" customHeight="1" x14ac:dyDescent="0.25">
      <c r="B13" s="38" t="s">
        <v>8</v>
      </c>
      <c r="C13" s="31"/>
      <c r="D13" s="31"/>
    </row>
    <row r="14" spans="1:5" ht="9.9499999999999993" customHeight="1" x14ac:dyDescent="0.25"/>
    <row r="15" spans="1:5" ht="6.95" customHeight="1" x14ac:dyDescent="0.25"/>
    <row r="16" spans="1:5" ht="24" customHeight="1" x14ac:dyDescent="0.25">
      <c r="A16" s="4"/>
      <c r="B16" s="34" t="s">
        <v>9</v>
      </c>
      <c r="C16" s="33"/>
      <c r="D16" s="33"/>
    </row>
    <row r="17" spans="1:4" ht="5.0999999999999996" customHeight="1" x14ac:dyDescent="0.25"/>
    <row r="18" spans="1:4" ht="28.5" customHeight="1" x14ac:dyDescent="0.25">
      <c r="B18" s="5" t="s">
        <v>10</v>
      </c>
      <c r="C18" s="6"/>
      <c r="D18" s="7" t="s">
        <v>11</v>
      </c>
    </row>
    <row r="19" spans="1:4" ht="18" customHeight="1" x14ac:dyDescent="0.25">
      <c r="B19" s="5" t="s">
        <v>12</v>
      </c>
      <c r="C19" s="6"/>
      <c r="D19" s="7" t="s">
        <v>13</v>
      </c>
    </row>
    <row r="20" spans="1:4" ht="28.5" customHeight="1" x14ac:dyDescent="0.25">
      <c r="B20" s="5" t="s">
        <v>14</v>
      </c>
      <c r="C20" s="6"/>
      <c r="D20" s="7" t="s">
        <v>15</v>
      </c>
    </row>
    <row r="21" spans="1:4" ht="18" customHeight="1" x14ac:dyDescent="0.25">
      <c r="B21" s="5" t="s">
        <v>16</v>
      </c>
      <c r="C21" s="6"/>
      <c r="D21" s="7" t="s">
        <v>17</v>
      </c>
    </row>
    <row r="22" spans="1:4" ht="28.5" customHeight="1" x14ac:dyDescent="0.25">
      <c r="B22" s="5" t="s">
        <v>18</v>
      </c>
      <c r="C22" s="6"/>
      <c r="D22" s="7" t="s">
        <v>19</v>
      </c>
    </row>
    <row r="23" spans="1:4" ht="18" customHeight="1" x14ac:dyDescent="0.25">
      <c r="B23" s="5" t="s">
        <v>20</v>
      </c>
      <c r="C23" s="6"/>
      <c r="D23" s="7"/>
    </row>
    <row r="24" spans="1:4" ht="28.5" customHeight="1" x14ac:dyDescent="0.25">
      <c r="B24" s="8" t="s">
        <v>21</v>
      </c>
      <c r="C24" s="9">
        <f>SUM(C18:C23)</f>
        <v>0</v>
      </c>
      <c r="D24" s="10" t="s">
        <v>22</v>
      </c>
    </row>
    <row r="25" spans="1:4" ht="9.9499999999999993" customHeight="1" x14ac:dyDescent="0.25"/>
    <row r="26" spans="1:4" ht="6.95" customHeight="1" x14ac:dyDescent="0.25"/>
    <row r="27" spans="1:4" ht="24" customHeight="1" x14ac:dyDescent="0.25">
      <c r="A27" s="4"/>
      <c r="B27" s="34" t="s">
        <v>23</v>
      </c>
      <c r="C27" s="33"/>
      <c r="D27" s="33"/>
    </row>
    <row r="28" spans="1:4" ht="5.0999999999999996" customHeight="1" x14ac:dyDescent="0.25"/>
    <row r="29" spans="1:4" ht="28.5" customHeight="1" x14ac:dyDescent="0.25">
      <c r="B29" s="5" t="s">
        <v>24</v>
      </c>
      <c r="C29" s="6"/>
      <c r="D29" s="7" t="s">
        <v>25</v>
      </c>
    </row>
    <row r="30" spans="1:4" ht="28.5" customHeight="1" x14ac:dyDescent="0.25">
      <c r="B30" s="5" t="s">
        <v>26</v>
      </c>
      <c r="C30" s="6"/>
      <c r="D30" s="7" t="s">
        <v>27</v>
      </c>
    </row>
    <row r="31" spans="1:4" ht="28.5" customHeight="1" x14ac:dyDescent="0.25">
      <c r="B31" s="5" t="s">
        <v>28</v>
      </c>
      <c r="C31" s="6"/>
      <c r="D31" s="7" t="s">
        <v>29</v>
      </c>
    </row>
    <row r="32" spans="1:4" ht="28.5" customHeight="1" x14ac:dyDescent="0.25">
      <c r="B32" s="5" t="s">
        <v>30</v>
      </c>
      <c r="C32" s="6"/>
      <c r="D32" s="7" t="s">
        <v>31</v>
      </c>
    </row>
    <row r="33" spans="1:4" ht="18.95" customHeight="1" x14ac:dyDescent="0.25">
      <c r="B33" s="11" t="s">
        <v>32</v>
      </c>
      <c r="C33" s="12">
        <f>SUM(C29:C32)</f>
        <v>0</v>
      </c>
      <c r="D33" s="13"/>
    </row>
    <row r="34" spans="1:4" ht="18.95" customHeight="1" x14ac:dyDescent="0.25">
      <c r="B34" s="11" t="s">
        <v>33</v>
      </c>
      <c r="C34" s="14">
        <f>C33-C24</f>
        <v>0</v>
      </c>
      <c r="D34" s="15" t="str">
        <f>IF(C24=0,"",IF(C34=0,"Passt, der Plan geht auf.",IF(C34&lt;0,"Es fehlen noch "&amp;TEXT(-C34,"#.##0")&amp;" €.","Du hast "&amp;TEXT(C34,"#.##0")&amp;" € zu viel eingeplant.")))</f>
        <v/>
      </c>
    </row>
    <row r="35" spans="1:4" ht="9.9499999999999993" customHeight="1" x14ac:dyDescent="0.25"/>
    <row r="36" spans="1:4" ht="6.95" customHeight="1" x14ac:dyDescent="0.25"/>
    <row r="37" spans="1:4" ht="24" customHeight="1" x14ac:dyDescent="0.25">
      <c r="A37" s="4"/>
      <c r="B37" s="34" t="s">
        <v>34</v>
      </c>
      <c r="C37" s="33"/>
      <c r="D37" s="33"/>
    </row>
    <row r="38" spans="1:4" ht="5.0999999999999996" customHeight="1" x14ac:dyDescent="0.25"/>
    <row r="39" spans="1:4" ht="29.25" customHeight="1" x14ac:dyDescent="0.25">
      <c r="B39" s="30" t="s">
        <v>35</v>
      </c>
      <c r="C39" s="31"/>
      <c r="D39" s="31"/>
    </row>
    <row r="40" spans="1:4" ht="18.95" customHeight="1" x14ac:dyDescent="0.25">
      <c r="B40" s="11" t="s">
        <v>36</v>
      </c>
      <c r="C40" s="12">
        <f>MIN(C30/2,C29)</f>
        <v>0</v>
      </c>
      <c r="D40" s="13" t="s">
        <v>37</v>
      </c>
    </row>
    <row r="41" spans="1:4" ht="24" customHeight="1" x14ac:dyDescent="0.25">
      <c r="B41" s="8" t="s">
        <v>38</v>
      </c>
      <c r="C41" s="9">
        <f>C29+C40</f>
        <v>0</v>
      </c>
      <c r="D41" s="10"/>
    </row>
    <row r="42" spans="1:4" ht="28.5" customHeight="1" x14ac:dyDescent="0.25">
      <c r="B42" s="16" t="s">
        <v>39</v>
      </c>
      <c r="C42" s="17" t="str">
        <f>IFERROR(C41/C24,"")</f>
        <v/>
      </c>
      <c r="D42" s="13" t="s">
        <v>40</v>
      </c>
    </row>
    <row r="43" spans="1:4" ht="17.100000000000001" customHeight="1" x14ac:dyDescent="0.25">
      <c r="B43" s="39" t="str">
        <f>IF(C42="","",IF(C42&lt;0.1,"Unter 10 %: Für die meisten Banken zu wenig. Mehr Eigenkapital oder ein niedrigerer Kaufpreis.",IF(C42&lt;0.2,"10 bis 20 %: Machbar, aber ohne Puffer. Die Struktur muss überzeugen.","Über 20 %: Komfortabler Bereich, du kannst über Konditionen verhandeln.")))</f>
        <v/>
      </c>
      <c r="C43" s="40"/>
      <c r="D43" s="40"/>
    </row>
    <row r="44" spans="1:4" ht="9.9499999999999993" customHeight="1" x14ac:dyDescent="0.25"/>
    <row r="45" spans="1:4" ht="27.75" customHeight="1" x14ac:dyDescent="0.25">
      <c r="B45" s="35" t="s">
        <v>41</v>
      </c>
      <c r="C45" s="36"/>
      <c r="D45" s="36"/>
    </row>
  </sheetData>
  <mergeCells count="13">
    <mergeCell ref="B10:D10"/>
    <mergeCell ref="B11:D11"/>
    <mergeCell ref="B3:D3"/>
    <mergeCell ref="B37:D37"/>
    <mergeCell ref="B45:D45"/>
    <mergeCell ref="B8:D8"/>
    <mergeCell ref="B4:D4"/>
    <mergeCell ref="B27:D27"/>
    <mergeCell ref="B13:D13"/>
    <mergeCell ref="B43:D43"/>
    <mergeCell ref="B12:D12"/>
    <mergeCell ref="B39:D39"/>
    <mergeCell ref="B16:D16"/>
  </mergeCells>
  <printOptions horizontalCentered="1"/>
  <pageMargins left="0.4" right="0.4" top="0.4" bottom="0.4" header="0.5" footer="0.5"/>
  <pageSetup paperSize="9" fitToHeight="0" orientation="landscape"/>
  <rowBreaks count="2" manualBreakCount="2">
    <brk id="26" max="16383" man="1"/>
    <brk id="3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E7A1E"/>
    <pageSetUpPr fitToPage="1"/>
  </sheetPr>
  <dimension ref="A1:E50"/>
  <sheetViews>
    <sheetView showGridLines="0" workbookViewId="0"/>
  </sheetViews>
  <sheetFormatPr baseColWidth="10" defaultColWidth="9.140625" defaultRowHeight="15" x14ac:dyDescent="0.25"/>
  <cols>
    <col min="1" max="1" width="2.140625" customWidth="1"/>
    <col min="2" max="2" width="62" customWidth="1"/>
    <col min="3" max="3" width="18" customWidth="1"/>
    <col min="4" max="4" width="46" customWidth="1"/>
    <col min="5" max="5" width="2.140625" customWidth="1"/>
    <col min="26" max="26" width="9.140625" customWidth="1"/>
  </cols>
  <sheetData>
    <row r="1" spans="1:5" ht="6" customHeight="1" x14ac:dyDescent="0.25">
      <c r="A1" s="1"/>
      <c r="B1" s="1"/>
      <c r="C1" s="1"/>
      <c r="D1" s="1"/>
      <c r="E1" s="1"/>
    </row>
    <row r="2" spans="1:5" ht="18" customHeight="1" x14ac:dyDescent="0.25">
      <c r="A2" s="1"/>
      <c r="B2" s="2" t="s">
        <v>0</v>
      </c>
      <c r="C2" s="1"/>
      <c r="D2" s="3" t="s">
        <v>1</v>
      </c>
      <c r="E2" s="1"/>
    </row>
    <row r="3" spans="1:5" ht="30" customHeight="1" x14ac:dyDescent="0.25">
      <c r="A3" s="1"/>
      <c r="B3" s="32" t="s">
        <v>42</v>
      </c>
      <c r="C3" s="33"/>
      <c r="D3" s="33"/>
      <c r="E3" s="1"/>
    </row>
    <row r="4" spans="1:5" ht="18.95" customHeight="1" x14ac:dyDescent="0.25">
      <c r="A4" s="1"/>
      <c r="B4" s="37" t="s">
        <v>43</v>
      </c>
      <c r="C4" s="33"/>
      <c r="D4" s="33"/>
      <c r="E4" s="1"/>
    </row>
    <row r="5" spans="1:5" ht="8.1" customHeight="1" x14ac:dyDescent="0.25">
      <c r="A5" s="1"/>
      <c r="B5" s="1"/>
      <c r="C5" s="1"/>
      <c r="D5" s="1"/>
      <c r="E5" s="1"/>
    </row>
    <row r="6" spans="1:5" ht="9.9499999999999993" customHeight="1" x14ac:dyDescent="0.25"/>
    <row r="7" spans="1:5" ht="6.95" customHeight="1" x14ac:dyDescent="0.25"/>
    <row r="8" spans="1:5" ht="24" customHeight="1" x14ac:dyDescent="0.25">
      <c r="A8" s="4"/>
      <c r="B8" s="34" t="s">
        <v>4</v>
      </c>
      <c r="C8" s="33"/>
      <c r="D8" s="33"/>
    </row>
    <row r="9" spans="1:5" ht="5.0999999999999996" customHeight="1" x14ac:dyDescent="0.25"/>
    <row r="10" spans="1:5" ht="18" customHeight="1" x14ac:dyDescent="0.25">
      <c r="B10" s="30" t="s">
        <v>44</v>
      </c>
      <c r="C10" s="31"/>
      <c r="D10" s="31"/>
    </row>
    <row r="11" spans="1:5" ht="18" customHeight="1" x14ac:dyDescent="0.25">
      <c r="B11" s="30" t="s">
        <v>45</v>
      </c>
      <c r="C11" s="31"/>
      <c r="D11" s="31"/>
    </row>
    <row r="12" spans="1:5" ht="9.9499999999999993" customHeight="1" x14ac:dyDescent="0.25"/>
    <row r="13" spans="1:5" ht="6.95" customHeight="1" x14ac:dyDescent="0.25"/>
    <row r="14" spans="1:5" ht="24" customHeight="1" x14ac:dyDescent="0.25">
      <c r="A14" s="4"/>
      <c r="B14" s="34" t="s">
        <v>46</v>
      </c>
      <c r="C14" s="33"/>
      <c r="D14" s="33"/>
    </row>
    <row r="15" spans="1:5" ht="5.0999999999999996" customHeight="1" x14ac:dyDescent="0.25"/>
    <row r="16" spans="1:5" ht="18" customHeight="1" x14ac:dyDescent="0.25">
      <c r="B16" s="5" t="s">
        <v>47</v>
      </c>
      <c r="C16" s="6"/>
      <c r="D16" s="7" t="s">
        <v>48</v>
      </c>
    </row>
    <row r="17" spans="1:4" ht="28.5" customHeight="1" x14ac:dyDescent="0.25">
      <c r="B17" s="5" t="s">
        <v>49</v>
      </c>
      <c r="C17" s="18">
        <v>0.7</v>
      </c>
      <c r="D17" s="7" t="s">
        <v>50</v>
      </c>
    </row>
    <row r="18" spans="1:4" ht="18" customHeight="1" x14ac:dyDescent="0.25">
      <c r="B18" s="38" t="s">
        <v>51</v>
      </c>
      <c r="C18" s="31"/>
      <c r="D18" s="31"/>
    </row>
    <row r="19" spans="1:4" ht="24" customHeight="1" x14ac:dyDescent="0.25">
      <c r="B19" s="8" t="s">
        <v>52</v>
      </c>
      <c r="C19" s="9">
        <f>C16*C17</f>
        <v>0</v>
      </c>
      <c r="D19" s="10"/>
    </row>
    <row r="20" spans="1:4" ht="9.9499999999999993" customHeight="1" x14ac:dyDescent="0.25"/>
    <row r="21" spans="1:4" ht="6.95" customHeight="1" x14ac:dyDescent="0.25"/>
    <row r="22" spans="1:4" ht="24" customHeight="1" x14ac:dyDescent="0.25">
      <c r="A22" s="4"/>
      <c r="B22" s="34" t="s">
        <v>53</v>
      </c>
      <c r="C22" s="33"/>
      <c r="D22" s="33"/>
    </row>
    <row r="23" spans="1:4" ht="5.0999999999999996" customHeight="1" x14ac:dyDescent="0.25"/>
    <row r="24" spans="1:4" ht="18" customHeight="1" x14ac:dyDescent="0.25">
      <c r="B24" s="5" t="s">
        <v>30</v>
      </c>
      <c r="C24" s="6">
        <f>Finanzierungsplan!C32</f>
        <v>0</v>
      </c>
      <c r="D24" s="7" t="s">
        <v>54</v>
      </c>
    </row>
    <row r="25" spans="1:4" ht="28.5" customHeight="1" x14ac:dyDescent="0.25">
      <c r="B25" s="5" t="s">
        <v>55</v>
      </c>
      <c r="C25" s="19">
        <v>0.06</v>
      </c>
      <c r="D25" s="7" t="s">
        <v>56</v>
      </c>
    </row>
    <row r="26" spans="1:4" ht="28.5" customHeight="1" x14ac:dyDescent="0.25">
      <c r="B26" s="5" t="s">
        <v>57</v>
      </c>
      <c r="C26" s="20">
        <v>7</v>
      </c>
      <c r="D26" s="7" t="s">
        <v>58</v>
      </c>
    </row>
    <row r="27" spans="1:4" ht="18.95" customHeight="1" x14ac:dyDescent="0.25">
      <c r="B27" s="11" t="s">
        <v>59</v>
      </c>
      <c r="C27" s="12">
        <f>IFERROR(-PMT(C25,C26,C24),"")</f>
        <v>0</v>
      </c>
      <c r="D27" s="13" t="s">
        <v>60</v>
      </c>
    </row>
    <row r="28" spans="1:4" ht="28.5" customHeight="1" x14ac:dyDescent="0.25">
      <c r="B28" s="5" t="s">
        <v>61</v>
      </c>
      <c r="C28" s="6"/>
      <c r="D28" s="7" t="s">
        <v>62</v>
      </c>
    </row>
    <row r="29" spans="1:4" ht="24" customHeight="1" x14ac:dyDescent="0.25">
      <c r="B29" s="8" t="s">
        <v>63</v>
      </c>
      <c r="C29" s="9">
        <f>C27+C28</f>
        <v>0</v>
      </c>
      <c r="D29" s="10"/>
    </row>
    <row r="30" spans="1:4" ht="9.9499999999999993" customHeight="1" x14ac:dyDescent="0.25"/>
    <row r="31" spans="1:4" ht="6.95" customHeight="1" x14ac:dyDescent="0.25"/>
    <row r="32" spans="1:4" ht="24" customHeight="1" x14ac:dyDescent="0.25">
      <c r="A32" s="4"/>
      <c r="B32" s="34" t="s">
        <v>64</v>
      </c>
      <c r="C32" s="33"/>
      <c r="D32" s="33"/>
    </row>
    <row r="33" spans="1:4" ht="5.0999999999999996" customHeight="1" x14ac:dyDescent="0.25"/>
    <row r="34" spans="1:4" ht="27.95" customHeight="1" x14ac:dyDescent="0.25">
      <c r="B34" s="21" t="s">
        <v>65</v>
      </c>
      <c r="C34" s="22" t="str">
        <f>IFERROR(C19/C29,"")</f>
        <v/>
      </c>
      <c r="D34" s="10" t="s">
        <v>66</v>
      </c>
    </row>
    <row r="35" spans="1:4" ht="17.100000000000001" customHeight="1" x14ac:dyDescent="0.25">
      <c r="B35" s="39" t="str">
        <f>IF(C34="","",IF(C34&lt;1.2,"Unter 1,2: Nicht tragfähig. Kaufpreis senken, Struktur ändern oder Laufzeit verlängern.",IF(C34&lt;1.5,"1,2 bis 1,5: Machbar, aber die Bank wird Anpassungen verlangen.","Ab 1,5: Komfortabel finanzierbar. Du kannst über Konditionen verhandeln.")))</f>
        <v/>
      </c>
      <c r="C35" s="40"/>
      <c r="D35" s="40"/>
    </row>
    <row r="36" spans="1:4" ht="28.5" customHeight="1" x14ac:dyDescent="0.25">
      <c r="B36" s="23" t="s">
        <v>67</v>
      </c>
      <c r="C36" s="24" t="str">
        <f>IFERROR((C24+Finanzierungsplan!C30+Finanzierungsplan!C31)/C16,"")</f>
        <v/>
      </c>
      <c r="D36" s="13" t="s">
        <v>68</v>
      </c>
    </row>
    <row r="37" spans="1:4" ht="9.9499999999999993" customHeight="1" x14ac:dyDescent="0.25"/>
    <row r="38" spans="1:4" ht="6.95" customHeight="1" x14ac:dyDescent="0.25"/>
    <row r="39" spans="1:4" ht="24" customHeight="1" x14ac:dyDescent="0.25">
      <c r="A39" s="4"/>
      <c r="B39" s="34" t="s">
        <v>69</v>
      </c>
      <c r="C39" s="33"/>
      <c r="D39" s="33"/>
    </row>
    <row r="40" spans="1:4" ht="5.0999999999999996" customHeight="1" x14ac:dyDescent="0.25"/>
    <row r="41" spans="1:4" ht="29.25" customHeight="1" x14ac:dyDescent="0.25">
      <c r="B41" s="30" t="s">
        <v>70</v>
      </c>
      <c r="C41" s="31"/>
      <c r="D41" s="31"/>
    </row>
    <row r="42" spans="1:4" ht="20.100000000000001" customHeight="1" x14ac:dyDescent="0.25">
      <c r="B42" s="25" t="s">
        <v>71</v>
      </c>
      <c r="C42" s="26" t="s">
        <v>65</v>
      </c>
      <c r="D42" s="26" t="s">
        <v>72</v>
      </c>
    </row>
    <row r="43" spans="1:4" ht="18" customHeight="1" x14ac:dyDescent="0.25">
      <c r="B43" s="27" t="s">
        <v>73</v>
      </c>
      <c r="C43" s="28" t="str">
        <f>IFERROR(C16*(1-0)*C17/C29,"")</f>
        <v/>
      </c>
      <c r="D43" s="29">
        <f>C16*(1-0)*C17</f>
        <v>0</v>
      </c>
    </row>
    <row r="44" spans="1:4" ht="18" customHeight="1" x14ac:dyDescent="0.25">
      <c r="B44" s="5" t="s">
        <v>74</v>
      </c>
      <c r="C44" s="28" t="str">
        <f>IFERROR(C16*(1-0.2)*C17/C29,"")</f>
        <v/>
      </c>
      <c r="D44" s="29">
        <f>C16*(1-0.2)*C17</f>
        <v>0</v>
      </c>
    </row>
    <row r="45" spans="1:4" ht="18" customHeight="1" x14ac:dyDescent="0.25">
      <c r="B45" s="5" t="s">
        <v>75</v>
      </c>
      <c r="C45" s="28" t="str">
        <f>IFERROR(C16*(1-0.3)*C17/C29,"")</f>
        <v/>
      </c>
      <c r="D45" s="29">
        <f>C16*(1-0.3)*C17</f>
        <v>0</v>
      </c>
    </row>
    <row r="46" spans="1:4" ht="18" customHeight="1" x14ac:dyDescent="0.25">
      <c r="B46" s="5" t="s">
        <v>76</v>
      </c>
      <c r="C46" s="28" t="str">
        <f>IFERROR(C16*(1-0.4)*C17/C29,"")</f>
        <v/>
      </c>
      <c r="D46" s="29">
        <f>C16*(1-0.4)*C17</f>
        <v>0</v>
      </c>
    </row>
    <row r="47" spans="1:4" ht="6" customHeight="1" x14ac:dyDescent="0.25"/>
    <row r="48" spans="1:4" ht="29.25" customHeight="1" x14ac:dyDescent="0.25">
      <c r="B48" s="41" t="s">
        <v>77</v>
      </c>
      <c r="C48" s="31"/>
      <c r="D48" s="31"/>
    </row>
    <row r="49" spans="2:4" ht="9.9499999999999993" customHeight="1" x14ac:dyDescent="0.25"/>
    <row r="50" spans="2:4" ht="27.75" customHeight="1" x14ac:dyDescent="0.25">
      <c r="B50" s="35" t="s">
        <v>41</v>
      </c>
      <c r="C50" s="36"/>
      <c r="D50" s="36"/>
    </row>
  </sheetData>
  <mergeCells count="14">
    <mergeCell ref="B50:D50"/>
    <mergeCell ref="B18:D18"/>
    <mergeCell ref="B39:D39"/>
    <mergeCell ref="B48:D48"/>
    <mergeCell ref="B10:D10"/>
    <mergeCell ref="B11:D11"/>
    <mergeCell ref="B3:D3"/>
    <mergeCell ref="B14:D14"/>
    <mergeCell ref="B41:D41"/>
    <mergeCell ref="B22:D22"/>
    <mergeCell ref="B8:D8"/>
    <mergeCell ref="B32:D32"/>
    <mergeCell ref="B4:D4"/>
    <mergeCell ref="B35:D35"/>
  </mergeCells>
  <printOptions horizontalCentered="1"/>
  <pageMargins left="0.4" right="0.4" top="0.4" bottom="0.4" header="0.5" footer="0.5"/>
  <pageSetup paperSize="9" fitToHeight="0" orientation="landscape"/>
  <rowBreaks count="3" manualBreakCount="3">
    <brk id="21" max="16383" man="1"/>
    <brk id="31" max="16383" man="1"/>
    <brk id="38" max="16383" man="1"/>
  </rowBreak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Finanzierungsplan</vt:lpstr>
      <vt:lpstr>Kapitaldienst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DUB Finanzierungsplan und Kapitaldienst</dc:title>
  <dc:creator>Deutsche Unternehmerboerse DUB.de GmbH</dc:creator>
  <dc:description>Kaeufer-Academy, Modul 7: Akquisitionsfinanzierung</dc:description>
  <cp:lastModifiedBy>Graig Gröbli</cp:lastModifiedBy>
  <dcterms:created xsi:type="dcterms:W3CDTF">2026-09-24T16:13:20Z</dcterms:created>
  <dcterms:modified xsi:type="dcterms:W3CDTF">2026-09-24T16:13:26Z</dcterms:modified>
</cp:coreProperties>
</file>