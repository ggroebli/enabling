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ealcircle-my.sharepoint.com/personal/graig_groebli_dealcircle_com/Documents/Misc/Dokumente/Enablement VS Project/Downloads/Kaeufer/"/>
    </mc:Choice>
  </mc:AlternateContent>
  <xr:revisionPtr revIDLastSave="610" documentId="11_7FFE3221CDBAB9EC35AC73EFBC6C7337BF6E5EBE" xr6:coauthVersionLast="47" xr6:coauthVersionMax="47" xr10:uidLastSave="{F4186600-78E6-42C9-9BCD-8020632B729F}"/>
  <bookViews>
    <workbookView xWindow="1950" yWindow="1950" windowWidth="28800" windowHeight="15345" xr2:uid="{00000000-000D-0000-FFFF-FFFF00000000}"/>
  </bookViews>
  <sheets>
    <sheet name="Bewertung" sheetId="1" r:id="rId1"/>
    <sheet name="Beispie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9" i="2" l="1"/>
  <c r="B41" i="2"/>
  <c r="F32" i="2"/>
  <c r="F33" i="2" s="1"/>
  <c r="F34" i="2" s="1"/>
  <c r="E32" i="2"/>
  <c r="D32" i="2"/>
  <c r="C32" i="2"/>
  <c r="F19" i="2"/>
  <c r="E19" i="2"/>
  <c r="E33" i="2" s="1"/>
  <c r="E34" i="2" s="1"/>
  <c r="D19" i="2"/>
  <c r="D33" i="2" s="1"/>
  <c r="D34" i="2" s="1"/>
  <c r="C19" i="2"/>
  <c r="C33" i="2" s="1"/>
  <c r="F75" i="1"/>
  <c r="B47" i="1"/>
  <c r="F38" i="1"/>
  <c r="E38" i="1"/>
  <c r="D38" i="1"/>
  <c r="C38" i="1"/>
  <c r="F25" i="1"/>
  <c r="F39" i="1" s="1"/>
  <c r="F40" i="1" s="1"/>
  <c r="E25" i="1"/>
  <c r="E39" i="1" s="1"/>
  <c r="E40" i="1" s="1"/>
  <c r="D25" i="1"/>
  <c r="D39" i="1" s="1"/>
  <c r="D40" i="1" s="1"/>
  <c r="C25" i="1"/>
  <c r="C39" i="1" s="1"/>
  <c r="E43" i="2" l="1"/>
  <c r="C34" i="2"/>
  <c r="C40" i="1"/>
  <c r="E49" i="1"/>
  <c r="F62" i="1" l="1"/>
  <c r="F78" i="1" s="1"/>
  <c r="E62" i="1"/>
  <c r="E78" i="1" s="1"/>
  <c r="D62" i="1"/>
  <c r="D78" i="1" s="1"/>
  <c r="F56" i="2"/>
  <c r="F72" i="2" s="1"/>
  <c r="E56" i="2"/>
  <c r="E72" i="2" s="1"/>
  <c r="D56" i="2"/>
  <c r="D72" i="2" s="1"/>
</calcChain>
</file>

<file path=xl/sharedStrings.xml><?xml version="1.0" encoding="utf-8"?>
<sst xmlns="http://schemas.openxmlformats.org/spreadsheetml/2006/main" count="169" uniqueCount="83">
  <si>
    <t>DUB  ·  KÄUFER-ACADEMY</t>
  </si>
  <si>
    <t>MODUL 3 · BEWERTUNG UND PREISFINDUNG</t>
  </si>
  <si>
    <t>Bewertungs-Template</t>
  </si>
  <si>
    <t>Bereinigtes EBITDA × Multiple = Unternehmenswert. Preisbrücke = dein Kaufpreisband.</t>
  </si>
  <si>
    <t xml:space="preserve">  ▶   SO GEHST DU VOR</t>
  </si>
  <si>
    <t>1.  Trage in Abschnitt 1 die Zahlen des Zielunternehmens ein – aus den Jahresabschlüssen oder aus dem Unternehmensexposé (IM). Was du dafür anfordern solltest, steht in Modul 4.</t>
  </si>
  <si>
    <t>2.  Prüfe in Abschnitt 2 die Bereinigungen. Der Verkäufer rechnet sie dir vor – deine Aufgabe ist, sie zu hinterfragen und belegen zu lassen.</t>
  </si>
  <si>
    <t>3.  Wähle in Abschnitt 4 drei Multiples: konservativ, realistisch und optimistisch. Branchenwerte findest du in den DUB KMU-Multiples auf www.dub.de.</t>
  </si>
  <si>
    <t>4.  Abschnitt 5 zeigt den Unternehmenswert, Abschnitt 6 rechnet ihn über die Preisbrücke in dein Kaufpreisband um. Abschnitt 7 hilft dir einzuordnen, welches Szenario realistisch ist.</t>
  </si>
  <si>
    <t>Die orange hinterlegten Felder sind Eingabefelder. Alle übrigen Werte berechnen sich automatisch.</t>
  </si>
  <si>
    <t xml:space="preserve">  1   ZAHLEN DES ZIELUNTERNEHMENS</t>
  </si>
  <si>
    <t>Nimm die Zahlen aus den Jahresabschlüssen oder dem Unternehmensexposé. Fehlt dir das Folgejahr, lass die Spalte leer – das Modell rechnet dann ohne sie weiter.</t>
  </si>
  <si>
    <t>Position · alle Beträge in Euro</t>
  </si>
  <si>
    <t>Zwei Jahre zurück
(abgeschlossen)</t>
  </si>
  <si>
    <t>Letztes Jahr
(abgeschlossen)</t>
  </si>
  <si>
    <t>Laufendes Jahr
(Hochrechnung)</t>
  </si>
  <si>
    <t>Folgejahr
(Planung des Verkäufers)</t>
  </si>
  <si>
    <t>Geschäftsjahr</t>
  </si>
  <si>
    <t>Umsatzerlöse</t>
  </si>
  <si>
    <t>Gesamtleistung (Umsatz ± Bestandsveränderung + aktivierte Eigenleistungen)</t>
  </si>
  <si>
    <t>Ergebnis der gewöhnlichen Geschäftstätigkeit (EGT)</t>
  </si>
  <si>
    <t>Finanzergebnis (Zinserträge − Zinsaufwendungen, meist negativ)</t>
  </si>
  <si>
    <t>Abschreibungen auf Sachanlagen und immaterielle Vermögensgegenstände</t>
  </si>
  <si>
    <t>= EBITDA laut Jahresabschluss</t>
  </si>
  <si>
    <t>EBITDA = EGT abzüglich Finanzergebnis zuzüglich Abschreibungen. Weist die GuV kein EGT aus, nimm stattdessen: Jahresüberschuss + Steuern vom Einkommen und Ertrag.</t>
  </si>
  <si>
    <t>Das EBITDA blendet die Abschreibungen aus. Investiert das Unternehmen laufend in Maschinen, Fahrzeuge oder Ausstattung, treffen dich diese Beträge nach der Übernahme trotzdem. Dafür gibt es zwei Stellen im Modell: Was der Verkäufer aufgeschoben hat, trägst du in Abschnitt 6 als Investitionsstau ein. Einen dauerhaft hohen Investitionsbedarf bildest du ab, indem du in Abschnitt 4 ein vorsichtigeres Multiple wählst.</t>
  </si>
  <si>
    <t xml:space="preserve">  2   BEREINIGUNGEN PRÜFEN</t>
  </si>
  <si>
    <t>Bei inhabergeführten Unternehmen spiegelt das EBITDA laut Jahresabschluss selten die Ertragskraft nach der Übernahme. Trage die Bereinigungen ein, die der Verkäufer ansetzt: Alles, was das Ergebnis erhöht, positiv – alles Mindernde mit Minuszeichen.</t>
  </si>
  <si>
    <t xml:space="preserve">      Inhabergehalt: Differenz zu einem marktüblichen Geschäftsführergehalt</t>
  </si>
  <si>
    <t xml:space="preserve">      Private Ausgaben über das Unternehmen (z. B. privat genutzter Firmenwagen)</t>
  </si>
  <si>
    <t xml:space="preserve">      Einmalige Aufwendungen (z. B. Rechtsstreit, Umzug, Abfindung)</t>
  </si>
  <si>
    <t xml:space="preserve">      Einmalige Erträge (z. B. Versicherungsleistung, Anlagenverkauf) – negativ eintragen</t>
  </si>
  <si>
    <t xml:space="preserve">      Miete an die Verkäuferseite: Differenz zur marktüblichen Miete</t>
  </si>
  <si>
    <t xml:space="preserve">      Weitere Bereinigung (frei)</t>
  </si>
  <si>
    <t>= Summe Bereinigungen</t>
  </si>
  <si>
    <t>= BEREINIGTES EBITDA</t>
  </si>
  <si>
    <t>Bereinigte EBITDA-Marge (auf Gesamtleistung)</t>
  </si>
  <si>
    <t>Lass dir jede Bereinigung belegen. Ein marktübliches Geschäftsführergehalt, das der Verkäufer bisher nicht gezahlt hat, mindert das bereinigte EBITDA – auch wenn es in seiner Rechnung fehlt. Bereinigungen ohne Nachweis gehören nicht ins Modell.</t>
  </si>
  <si>
    <t xml:space="preserve">  3   GEWICHTUNG DER JAHRE</t>
  </si>
  <si>
    <t>Nicht jedes Jahr wiegt gleich schwer. Das letzte abgeschlossene und das laufende Jahr sagen am meisten über die Ertragskraft aus, die du übernimmst. Die Planung des Verkäufers wiegt am wenigsten, solange sie nicht mit Aufträgen unterlegt ist. Du kannst die Gewichtung anpassen, in Summe muss sie 100 % ergeben.</t>
  </si>
  <si>
    <t>Gewichtung</t>
  </si>
  <si>
    <t>= GEWICHTETES BEREINIGTES EBITDA  ·  deine Bewertungsbasis</t>
  </si>
  <si>
    <t xml:space="preserve">  4   MULTIPLE-SZENARIEN</t>
  </si>
  <si>
    <t>Rechne nicht mit einem Multiple, sondern mit dreien. Sieh dir dafür die KMU-Multiples für die Branche des Zielunternehmens auf www.dub.de an – Multiples unterscheiden sich von Branche zu Branche erheblich.</t>
  </si>
  <si>
    <t>Dort stehen EBITDA- und EBIT-Multiples nebeneinander. Multiple und Bezugsgröße müssen zusammenpassen: Dieses Template rechnet mit dem bereinigten EBITDA, trage hier also den EBITDA-Multiple ein. Der EBIT-Multiple ist immer der höhere von beiden – auf ein EBITDA angewendet ergibt er einen zu hohen Unternehmenswert.</t>
  </si>
  <si>
    <t>Als grobe Orientierung, wenn dir für die Branche keine Werte vorliegen: hohe Inhaberabhängigkeit 2–3×, stabiles Unternehmen 3–5×, wachsend mit geringer Abhängigkeit 4–6×, starke Marke mit wiederkehrenden Umsätzen 5–8×.</t>
  </si>
  <si>
    <t>Konservativ</t>
  </si>
  <si>
    <t>Realistisch</t>
  </si>
  <si>
    <t>Optimistisch</t>
  </si>
  <si>
    <t>Multiple für die Branche des Zielunternehmens</t>
  </si>
  <si>
    <t xml:space="preserve">  5   UNTERNEHMENSWERT</t>
  </si>
  <si>
    <t>UNTERNEHMENSWERT</t>
  </si>
  <si>
    <t>Das ist der Unternehmenswert, nicht der Kaufpreis. Er ist schulden- und liquiditätsfrei gerechnet (im Fachjargon „cash and debt free“): Schulden, überschüssiges Bargeld, das im Tagesgeschäft gebundene Kapital und ein Investitionsstau kommen erst über die Preisbrücke in Abschnitt 6 dazu oder gehen ab.</t>
  </si>
  <si>
    <t>Betriebsnotwendige Maschinen, Ausstattung und Warenbestand sind in diesem Wert bereits enthalten – ohne sie gäbe es das Ergebnis nicht, auf dem er beruht. Schlägt der Verkäufer sie zusätzlich auf, ist das doppelt gerechnet. Nur nicht betriebsnotwendige Werte, etwa eine vermietete Immobilie oder ein ungenutztes Grundstück, dürfen separat hinzukommen.</t>
  </si>
  <si>
    <t xml:space="preserve">  6   PREISBRÜCKE: VOM UNTERNEHMENSWERT ZUM KAUFPREIS</t>
  </si>
  <si>
    <t>Diese vier Positionen gelten für alle drei Szenarien. Das Vorzeichen steht jeweils dahinter. Die Werte stammen aus der letzten Bilanz und werden zum Übergabetag final gemessen.</t>
  </si>
  <si>
    <t>Zum gebundenen Kapital, im Fachjargon Working Capital: In jedem Betrieb steckt Geld im Umlauf – in offenen Kundenrechnungen und im Warenlager, gegengerechnet mit dem, was der Betrieb selbst noch an Lieferanten schuldet. Käufer und Verkäufer einigen sich auf einen Normalwert, meist den Durchschnitt der letzten zwölf Monate. Liegt der Stand am Übergabetag darunter, weil der Verkäufer vorher das Lager abgebaut oder Forderungen eingezogen hat, sinkt der Kaufpreis um die Differenz – liegt er darüber, steigt er.</t>
  </si>
  <si>
    <t>Betrag</t>
  </si>
  <si>
    <t>Finanzverbindlichkeiten: Bankdarlehen, Gesellschafterdarlehen, Leasing (negativ eintragen)</t>
  </si>
  <si>
    <t>Überschüssiges Cash: Kassenbestand und Bankguthaben über dem betriebsnotwendigen Niveau (positiv eintragen)</t>
  </si>
  <si>
    <t>Im Tagesgeschäft gebundenes Kapital: Abweichung vom vereinbarten Normalwert (positiv oder negativ)</t>
  </si>
  <si>
    <t>Investitionsstau: Notwendige Investitionen, die der Verkäufer nicht getätigt hat (negativ eintragen)</t>
  </si>
  <si>
    <t>= Summe Preisbrücke</t>
  </si>
  <si>
    <t>KAUFPREISBAND</t>
  </si>
  <si>
    <t>Verhandle mit dieser Rechnung, nicht mit einer Zahl. „Der bereinigte EBITDA beträgt X, ein Multiple von Y ist branchenüblich, abzüglich Schulden ergibt das Z“ überzeugt einen Verkäufer eher als ein Gebot ohne Herleitung.</t>
  </si>
  <si>
    <t xml:space="preserve">  7   WELCHES SZENARIO IST REALISTISCH?</t>
  </si>
  <si>
    <t>Die drei Szenarien sind kein Verhandlungsspielraum, sondern eine Einschätzung. Ob dein Zielunternehmen eher am unteren oder am oberen Rand liegt, entscheidet sich an den folgenden Punkten. Prüfe sie, bevor du dich auf ein Szenario festlegst – und prüfe sie nach der Due Diligence erneut.</t>
  </si>
  <si>
    <t>Ertragskraft</t>
  </si>
  <si>
    <t>Oberes Szenario: Umsatz und bereinigtes Ergebnis sind über mehrere Jahre gestiegen, die Marge liegt über dem Branchenschnitt.   Unteres Szenario: Schwankende oder rückläufige Zahlen, Marge unter Branchenschnitt.</t>
  </si>
  <si>
    <t>Inhaberabhängigkeit</t>
  </si>
  <si>
    <t>Oberes Szenario: Das Tagesgeschäft läuft ohne den Inhaber, Prozesse sind dokumentiert, Kunden hängen am Team.   Unteres Szenario: Fachwissen, Entscheidungen und Kundenkontakte liegen allein beim Inhaber.</t>
  </si>
  <si>
    <t>Kundenstruktur</t>
  </si>
  <si>
    <t>Oberes Szenario: Viele Kunden, kein einzelner dominiert, wiederkehrende Erlöse aus Wartung oder Rahmenverträgen.   Unteres Szenario: Ein einzelner Kunde macht einen erheblichen Teil des Umsatzes aus.</t>
  </si>
  <si>
    <t>Marktposition und Zukunftsaussichten</t>
  </si>
  <si>
    <t>Oberes Szenario: Wachsender Markt, erkennbares Alleinstellungsmerkmal, unterlegte Planung.   Unteres Szenario: Schrumpfender Markt, austauschbares Angebot, Planung ohne Auftragsbasis.</t>
  </si>
  <si>
    <t>Belegbarkeit der Zahlen</t>
  </si>
  <si>
    <t>Oberes Szenario: Testierte oder vom Steuerberater erstellte Abschlüsse, Bereinigungen sind belegt.   Unteres Szenario: Nur BWA oder Angaben des Verkäufers, Bereinigungen ohne Nachweis.</t>
  </si>
  <si>
    <t>Verträge und Ausstattung</t>
  </si>
  <si>
    <t>Oberes Szenario: Langfristige Kunden-, Liefer- und Mietverträge, gepflegte Maschinen und Software.   Unteres Szenario: Kurzfristig kündbare Verträge, Investitionsstau, ungeklärte Rechtsfragen.</t>
  </si>
  <si>
    <t>Ein hoher Kaufpreis nützt nichts, wenn er nicht finanzierbar ist. Prüfe dein Kaufpreisband gegen dein Eigenkapital, den möglichen Bankkredit und ein mögliches Verkäuferdarlehen – siehe Modul 7, Akquisitionsfinanzierung.</t>
  </si>
  <si>
    <t>Dieses Template dient der Orientierung und ersetzt keine Rechts-, Steuer- oder Finanzberatung.    DUB · info@dub.de · www.dub.de    © 2026 Deutsche Unternehmerbörse DUB.de GmbH</t>
  </si>
  <si>
    <t>Bewertungs-Template  –  ausgefülltes Beispiel</t>
  </si>
  <si>
    <t>Dieses Blatt zeigt das Modell mit den Beispielzahlen aus Modul 3: bereinigtes EBITDA 200.000 €, Multiples 3× / 4× / 5×, Kaufpreisband 550.000 – 950.000 €. Es dient nur der Veranschaulichung – arbeite im Blatt „Bewertung“ mit den Zahlen deines Zielunternehmens.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</si>
</sst>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0\ &quot;€&quot;;[Red]\-#,##0\ &quot;€&quot;"/>
    <numFmt numFmtId="164" formatCode="#,##0\ &quot;€&quot;;[Red]\-#,##0\ &quot;€&quot;;&quot;&quot;"/>
    <numFmt numFmtId="165" formatCode="0\ %"/>
    <numFmt numFmtId="166" formatCode="0.0&quot;×&quot;"/>
  </numFmts>
  <fonts count="26" x14ac:knownFonts="1">
    <font>
      <sz val="11"/>
      <color theme="1"/>
      <name val="Calibri"/>
      <family val="2"/>
      <scheme val="minor"/>
    </font>
    <font>
      <b/>
      <sz val="10"/>
      <color rgb="FFC7D0DE"/>
      <name val="Calibri"/>
    </font>
    <font>
      <b/>
      <sz val="10"/>
      <color rgb="FFEE7A1E"/>
      <name val="Calibri"/>
    </font>
    <font>
      <b/>
      <sz val="20"/>
      <color rgb="FFFFFFFF"/>
      <name val="Calibri"/>
    </font>
    <font>
      <sz val="11"/>
      <color rgb="FFC7D0DE"/>
      <name val="Calibri"/>
    </font>
    <font>
      <b/>
      <sz val="11"/>
      <color rgb="FFFFFFFF"/>
      <name val="Calibri"/>
    </font>
    <font>
      <sz val="10"/>
      <color rgb="FF1A1A1A"/>
      <name val="Calibri"/>
    </font>
    <font>
      <i/>
      <sz val="9.5"/>
      <color rgb="FF8A94A6"/>
      <name val="Calibri"/>
    </font>
    <font>
      <b/>
      <sz val="9.5"/>
      <color rgb="FF666666"/>
      <name val="Calibri"/>
    </font>
    <font>
      <b/>
      <sz val="9"/>
      <color rgb="FF0F2744"/>
      <name val="Calibri"/>
    </font>
    <font>
      <sz val="10.5"/>
      <color rgb="FF1A1A1A"/>
      <name val="Calibri"/>
    </font>
    <font>
      <sz val="10.5"/>
      <color rgb="FFB35C0F"/>
      <name val="Calibri"/>
    </font>
    <font>
      <b/>
      <sz val="10.5"/>
      <color rgb="FF1A1A1A"/>
      <name val="Calibri"/>
    </font>
    <font>
      <sz val="9.5"/>
      <color rgb="FF666666"/>
      <name val="Calibri"/>
    </font>
    <font>
      <b/>
      <sz val="12"/>
      <color rgb="FF0F2744"/>
      <name val="Calibri"/>
    </font>
    <font>
      <b/>
      <sz val="10"/>
      <color rgb="FF1A1A1A"/>
      <name val="Calibri"/>
    </font>
    <font>
      <b/>
      <sz val="10.5"/>
      <color rgb="FFB35C0F"/>
      <name val="Calibri"/>
    </font>
    <font>
      <b/>
      <sz val="13"/>
      <color rgb="FF0F2744"/>
      <name val="Calibri"/>
    </font>
    <font>
      <b/>
      <sz val="9.5"/>
      <color rgb="FF0F2744"/>
      <name val="Calibri"/>
    </font>
    <font>
      <b/>
      <sz val="11"/>
      <color rgb="FFB35C0F"/>
      <name val="Calibri"/>
    </font>
    <font>
      <b/>
      <sz val="13"/>
      <color rgb="FFFFFFFF"/>
      <name val="Calibri"/>
    </font>
    <font>
      <b/>
      <sz val="11"/>
      <color rgb="FF0F2744"/>
      <name val="Calibri"/>
    </font>
    <font>
      <b/>
      <sz val="10"/>
      <color rgb="FF0F2744"/>
      <name val="Calibri"/>
    </font>
    <font>
      <sz val="9.5"/>
      <color rgb="FF1A1A1A"/>
      <name val="Calibri"/>
    </font>
    <font>
      <sz val="9"/>
      <color rgb="FF8A94A6"/>
      <name val="Calibri"/>
    </font>
    <font>
      <sz val="10"/>
      <color rgb="FF0F2744"/>
      <name val="Calibri"/>
    </font>
  </fonts>
  <fills count="7">
    <fill>
      <patternFill patternType="none"/>
    </fill>
    <fill>
      <patternFill patternType="gray125"/>
    </fill>
    <fill>
      <patternFill patternType="solid">
        <fgColor rgb="FF0F2744"/>
      </patternFill>
    </fill>
    <fill>
      <patternFill patternType="solid">
        <fgColor rgb="FFEE7A1E"/>
      </patternFill>
    </fill>
    <fill>
      <patternFill patternType="solid">
        <fgColor rgb="FFFFF8EF"/>
      </patternFill>
    </fill>
    <fill>
      <patternFill patternType="solid">
        <fgColor rgb="FFEEF1F5"/>
      </patternFill>
    </fill>
    <fill>
      <patternFill patternType="solid">
        <fgColor rgb="FFFDEBD8"/>
      </patternFill>
    </fill>
  </fills>
  <borders count="7">
    <border>
      <left/>
      <right/>
      <top/>
      <bottom/>
      <diagonal/>
    </border>
    <border>
      <left/>
      <right/>
      <top/>
      <bottom style="thin">
        <color rgb="FFE5E7EB"/>
      </bottom>
      <diagonal/>
    </border>
    <border>
      <left style="thin">
        <color rgb="FFFFFFFF"/>
      </left>
      <right/>
      <top/>
      <bottom style="thin">
        <color rgb="FFE5E7EB"/>
      </bottom>
      <diagonal/>
    </border>
    <border>
      <left/>
      <right/>
      <top style="thin">
        <color rgb="FF8A94A6"/>
      </top>
      <bottom style="thin">
        <color rgb="FFE5E7EB"/>
      </bottom>
      <diagonal/>
    </border>
    <border>
      <left/>
      <right/>
      <top style="thin">
        <color rgb="FF0F2744"/>
      </top>
      <bottom style="thin">
        <color rgb="FFE5E7EB"/>
      </bottom>
      <diagonal/>
    </border>
    <border>
      <left/>
      <right/>
      <top style="thin">
        <color rgb="FF0F2744"/>
      </top>
      <bottom style="thin">
        <color rgb="FF0F2744"/>
      </bottom>
      <diagonal/>
    </border>
    <border>
      <left/>
      <right/>
      <top style="thin">
        <color rgb="FFE5E7EB"/>
      </top>
      <bottom/>
      <diagonal/>
    </border>
  </borders>
  <cellStyleXfs count="1">
    <xf numFmtId="0" fontId="0" fillId="0" borderId="0"/>
  </cellStyleXfs>
  <cellXfs count="44">
    <xf numFmtId="0" fontId="0" fillId="0" borderId="0" xfId="0"/>
    <xf numFmtId="0" fontId="0" fillId="2" borderId="0" xfId="0" applyFill="1"/>
    <xf numFmtId="0" fontId="1" fillId="2" borderId="0" xfId="0" applyFont="1" applyFill="1" applyAlignment="1">
      <alignment horizontal="left" vertical="center"/>
    </xf>
    <xf numFmtId="0" fontId="0" fillId="3" borderId="0" xfId="0" applyFill="1"/>
    <xf numFmtId="0" fontId="8" fillId="0" borderId="0" xfId="0" applyFont="1" applyAlignment="1">
      <alignment horizontal="left"/>
    </xf>
    <xf numFmtId="0" fontId="9" fillId="0" borderId="0" xfId="0" applyFont="1" applyAlignment="1">
      <alignment horizontal="center" wrapText="1"/>
    </xf>
    <xf numFmtId="0" fontId="10" fillId="0" borderId="1" xfId="0" applyFont="1" applyBorder="1" applyAlignment="1">
      <alignment horizontal="left" vertical="center" wrapText="1"/>
    </xf>
    <xf numFmtId="1" fontId="11" fillId="4" borderId="2" xfId="0" applyNumberFormat="1" applyFont="1" applyFill="1" applyBorder="1" applyAlignment="1">
      <alignment horizontal="right" vertical="center"/>
    </xf>
    <xf numFmtId="6" fontId="11" fillId="4" borderId="2" xfId="0" applyNumberFormat="1" applyFont="1" applyFill="1" applyBorder="1" applyAlignment="1">
      <alignment horizontal="right" vertical="center"/>
    </xf>
    <xf numFmtId="0" fontId="12" fillId="5" borderId="3" xfId="0" applyFont="1" applyFill="1" applyBorder="1" applyAlignment="1">
      <alignment horizontal="left" vertical="center" wrapText="1"/>
    </xf>
    <xf numFmtId="164" fontId="12" fillId="5" borderId="3" xfId="0" applyNumberFormat="1" applyFont="1" applyFill="1" applyBorder="1" applyAlignment="1">
      <alignment horizontal="right" vertical="center"/>
    </xf>
    <xf numFmtId="0" fontId="14" fillId="6" borderId="4" xfId="0" applyFont="1" applyFill="1" applyBorder="1" applyAlignment="1">
      <alignment horizontal="left" vertical="center" wrapText="1"/>
    </xf>
    <xf numFmtId="164" fontId="14" fillId="6" borderId="4" xfId="0" applyNumberFormat="1" applyFont="1" applyFill="1" applyBorder="1" applyAlignment="1">
      <alignment horizontal="right" vertical="center"/>
    </xf>
    <xf numFmtId="0" fontId="15" fillId="5" borderId="3" xfId="0" applyFont="1" applyFill="1" applyBorder="1" applyAlignment="1">
      <alignment horizontal="left" vertical="center" wrapText="1"/>
    </xf>
    <xf numFmtId="165" fontId="15" fillId="5" borderId="3" xfId="0" applyNumberFormat="1" applyFont="1" applyFill="1" applyBorder="1" applyAlignment="1">
      <alignment horizontal="right" vertical="center"/>
    </xf>
    <xf numFmtId="165" fontId="16" fillId="4" borderId="2" xfId="0" applyNumberFormat="1" applyFont="1" applyFill="1" applyBorder="1" applyAlignment="1">
      <alignment horizontal="right" vertical="center"/>
    </xf>
    <xf numFmtId="0" fontId="18" fillId="0" borderId="0" xfId="0" applyFont="1" applyAlignment="1">
      <alignment horizontal="center" vertical="center" wrapText="1"/>
    </xf>
    <xf numFmtId="0" fontId="0" fillId="0" borderId="1" xfId="0" applyBorder="1"/>
    <xf numFmtId="166" fontId="19" fillId="4" borderId="2" xfId="0" applyNumberFormat="1" applyFont="1" applyFill="1" applyBorder="1" applyAlignment="1">
      <alignment horizontal="right" vertical="center"/>
    </xf>
    <xf numFmtId="164" fontId="20" fillId="2" borderId="0" xfId="0" applyNumberFormat="1" applyFont="1" applyFill="1" applyAlignment="1">
      <alignment horizontal="right" vertical="center"/>
    </xf>
    <xf numFmtId="0" fontId="22" fillId="0" borderId="6" xfId="0" applyFont="1" applyBorder="1" applyAlignment="1">
      <alignment horizontal="left" vertical="top" wrapText="1"/>
    </xf>
    <xf numFmtId="0" fontId="2" fillId="2" borderId="0" xfId="0" applyFont="1" applyFill="1" applyAlignment="1">
      <alignment horizontal="right" vertical="center"/>
    </xf>
    <xf numFmtId="0" fontId="0" fillId="2" borderId="0" xfId="0" applyFill="1"/>
    <xf numFmtId="0" fontId="4" fillId="2" borderId="0" xfId="0" applyFont="1" applyFill="1" applyAlignment="1">
      <alignment horizontal="left" vertical="center"/>
    </xf>
    <xf numFmtId="0" fontId="20" fillId="2" borderId="0" xfId="0" applyFont="1" applyFill="1" applyAlignment="1">
      <alignment horizontal="left" vertical="center"/>
    </xf>
    <xf numFmtId="0" fontId="7" fillId="0" borderId="0" xfId="0" applyFont="1" applyAlignment="1">
      <alignment horizontal="left" vertical="top" wrapText="1"/>
    </xf>
    <xf numFmtId="0" fontId="0" fillId="0" borderId="0" xfId="0"/>
    <xf numFmtId="0" fontId="5" fillId="2" borderId="0" xfId="0" applyFont="1" applyFill="1" applyAlignment="1">
      <alignment horizontal="left" vertical="center"/>
    </xf>
    <xf numFmtId="0" fontId="6" fillId="0" borderId="0" xfId="0" applyFont="1" applyAlignment="1">
      <alignment horizontal="left" vertical="top" wrapText="1"/>
    </xf>
    <xf numFmtId="0" fontId="10" fillId="0" borderId="1" xfId="0" applyFont="1" applyBorder="1" applyAlignment="1">
      <alignment horizontal="left" vertical="center" wrapText="1"/>
    </xf>
    <xf numFmtId="0" fontId="0" fillId="0" borderId="1" xfId="0" applyBorder="1"/>
    <xf numFmtId="0" fontId="3" fillId="2" borderId="0" xfId="0" applyFont="1" applyFill="1" applyAlignment="1">
      <alignment horizontal="left" vertical="center"/>
    </xf>
    <xf numFmtId="0" fontId="13" fillId="0" borderId="0" xfId="0" applyFont="1" applyAlignment="1">
      <alignment horizontal="left" vertical="top" wrapText="1"/>
    </xf>
    <xf numFmtId="0" fontId="12" fillId="5" borderId="3" xfId="0" applyFont="1" applyFill="1" applyBorder="1" applyAlignment="1">
      <alignment horizontal="left" vertical="center" wrapText="1"/>
    </xf>
    <xf numFmtId="0" fontId="0" fillId="5" borderId="3" xfId="0" applyFill="1" applyBorder="1"/>
    <xf numFmtId="0" fontId="23" fillId="0" borderId="6" xfId="0" applyFont="1" applyBorder="1" applyAlignment="1">
      <alignment horizontal="left" vertical="top" wrapText="1"/>
    </xf>
    <xf numFmtId="0" fontId="0" fillId="0" borderId="6" xfId="0" applyBorder="1"/>
    <xf numFmtId="0" fontId="14" fillId="6" borderId="5" xfId="0" applyFont="1" applyFill="1" applyBorder="1" applyAlignment="1">
      <alignment horizontal="left" vertical="center"/>
    </xf>
    <xf numFmtId="0" fontId="0" fillId="6" borderId="5" xfId="0" applyFill="1" applyBorder="1"/>
    <xf numFmtId="164" fontId="17" fillId="6" borderId="5" xfId="0" applyNumberFormat="1" applyFont="1" applyFill="1" applyBorder="1" applyAlignment="1">
      <alignment horizontal="right" vertical="center"/>
    </xf>
    <xf numFmtId="0" fontId="21" fillId="6" borderId="0" xfId="0" applyFont="1" applyFill="1" applyAlignment="1">
      <alignment horizontal="left" vertical="top" wrapText="1"/>
    </xf>
    <xf numFmtId="0" fontId="0" fillId="6" borderId="0" xfId="0" applyFill="1"/>
    <xf numFmtId="0" fontId="24" fillId="0" borderId="6" xfId="0" applyFont="1" applyBorder="1" applyAlignment="1">
      <alignment horizontal="left" vertical="top" wrapText="1"/>
    </xf>
    <xf numFmtId="0" fontId="25" fillId="6" borderId="0" xfId="0" applyFont="1" applyFill="1" applyAlignment="1">
      <alignment horizontal="lef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2744"/>
    <pageSetUpPr fitToPage="1"/>
  </sheetPr>
  <dimension ref="A1:G94"/>
  <sheetViews>
    <sheetView showGridLines="0" tabSelected="1" workbookViewId="0"/>
  </sheetViews>
  <sheetFormatPr baseColWidth="10" defaultColWidth="9.140625" defaultRowHeight="15" x14ac:dyDescent="0.25"/>
  <cols>
    <col min="1" max="1" width="2.140625" customWidth="1"/>
    <col min="2" max="2" width="74" customWidth="1"/>
    <col min="3" max="6" width="16" customWidth="1"/>
    <col min="7" max="7" width="2.140625" customWidth="1"/>
    <col min="26" max="26" width="9.140625" customWidth="1"/>
  </cols>
  <sheetData>
    <row r="1" spans="1:7" ht="6" customHeight="1" x14ac:dyDescent="0.25">
      <c r="A1" s="1"/>
      <c r="B1" s="1"/>
      <c r="C1" s="1"/>
      <c r="D1" s="1"/>
      <c r="E1" s="1"/>
      <c r="F1" s="1"/>
      <c r="G1" s="1"/>
    </row>
    <row r="2" spans="1:7" ht="18" customHeight="1" x14ac:dyDescent="0.25">
      <c r="A2" s="1"/>
      <c r="B2" s="2" t="s">
        <v>0</v>
      </c>
      <c r="C2" s="1"/>
      <c r="D2" s="21" t="s">
        <v>1</v>
      </c>
      <c r="E2" s="22"/>
      <c r="F2" s="22"/>
      <c r="G2" s="1"/>
    </row>
    <row r="3" spans="1:7" ht="30" customHeight="1" x14ac:dyDescent="0.25">
      <c r="A3" s="1"/>
      <c r="B3" s="31" t="s">
        <v>2</v>
      </c>
      <c r="C3" s="22"/>
      <c r="D3" s="22"/>
      <c r="E3" s="22"/>
      <c r="F3" s="22"/>
      <c r="G3" s="1"/>
    </row>
    <row r="4" spans="1:7" ht="18.95" customHeight="1" x14ac:dyDescent="0.25">
      <c r="A4" s="1"/>
      <c r="B4" s="23" t="s">
        <v>3</v>
      </c>
      <c r="C4" s="22"/>
      <c r="D4" s="22"/>
      <c r="E4" s="22"/>
      <c r="F4" s="22"/>
      <c r="G4" s="1"/>
    </row>
    <row r="5" spans="1:7" ht="8.1" customHeight="1" x14ac:dyDescent="0.25">
      <c r="A5" s="1"/>
      <c r="B5" s="1"/>
      <c r="C5" s="1"/>
      <c r="D5" s="1"/>
      <c r="E5" s="1"/>
      <c r="F5" s="1"/>
      <c r="G5" s="1"/>
    </row>
    <row r="6" spans="1:7" ht="9.9499999999999993" customHeight="1" x14ac:dyDescent="0.25"/>
    <row r="7" spans="1:7" ht="6.95" customHeight="1" x14ac:dyDescent="0.25"/>
    <row r="8" spans="1:7" ht="24" customHeight="1" x14ac:dyDescent="0.25">
      <c r="A8" s="3"/>
      <c r="B8" s="27" t="s">
        <v>4</v>
      </c>
      <c r="C8" s="22"/>
      <c r="D8" s="22"/>
      <c r="E8" s="22"/>
      <c r="F8" s="22"/>
    </row>
    <row r="9" spans="1:7" ht="29.25" customHeight="1" x14ac:dyDescent="0.25">
      <c r="B9" s="28" t="s">
        <v>5</v>
      </c>
      <c r="C9" s="26"/>
      <c r="D9" s="26"/>
      <c r="E9" s="26"/>
      <c r="F9" s="26"/>
    </row>
    <row r="10" spans="1:7" ht="18" customHeight="1" x14ac:dyDescent="0.25">
      <c r="B10" s="28" t="s">
        <v>6</v>
      </c>
      <c r="C10" s="26"/>
      <c r="D10" s="26"/>
      <c r="E10" s="26"/>
      <c r="F10" s="26"/>
    </row>
    <row r="11" spans="1:7" ht="18" customHeight="1" x14ac:dyDescent="0.25">
      <c r="B11" s="28" t="s">
        <v>7</v>
      </c>
      <c r="C11" s="26"/>
      <c r="D11" s="26"/>
      <c r="E11" s="26"/>
      <c r="F11" s="26"/>
    </row>
    <row r="12" spans="1:7" ht="29.25" customHeight="1" x14ac:dyDescent="0.25">
      <c r="B12" s="28" t="s">
        <v>8</v>
      </c>
      <c r="C12" s="26"/>
      <c r="D12" s="26"/>
      <c r="E12" s="26"/>
      <c r="F12" s="26"/>
    </row>
    <row r="13" spans="1:7" ht="18" customHeight="1" x14ac:dyDescent="0.25">
      <c r="B13" s="25" t="s">
        <v>9</v>
      </c>
      <c r="C13" s="26"/>
      <c r="D13" s="26"/>
      <c r="E13" s="26"/>
      <c r="F13" s="26"/>
    </row>
    <row r="14" spans="1:7" ht="9.9499999999999993" customHeight="1" x14ac:dyDescent="0.25"/>
    <row r="15" spans="1:7" ht="6.95" customHeight="1" x14ac:dyDescent="0.25"/>
    <row r="16" spans="1:7" ht="24" customHeight="1" x14ac:dyDescent="0.25">
      <c r="A16" s="3"/>
      <c r="B16" s="27" t="s">
        <v>10</v>
      </c>
      <c r="C16" s="22"/>
      <c r="D16" s="22"/>
      <c r="E16" s="22"/>
      <c r="F16" s="22"/>
    </row>
    <row r="17" spans="1:6" ht="18" customHeight="1" x14ac:dyDescent="0.25">
      <c r="B17" s="28" t="s">
        <v>11</v>
      </c>
      <c r="C17" s="26"/>
      <c r="D17" s="26"/>
      <c r="E17" s="26"/>
      <c r="F17" s="26"/>
    </row>
    <row r="18" spans="1:6" ht="39.75" customHeight="1" x14ac:dyDescent="0.25">
      <c r="B18" s="4" t="s">
        <v>12</v>
      </c>
      <c r="C18" s="5" t="s">
        <v>13</v>
      </c>
      <c r="D18" s="5" t="s">
        <v>14</v>
      </c>
      <c r="E18" s="5" t="s">
        <v>15</v>
      </c>
      <c r="F18" s="5" t="s">
        <v>16</v>
      </c>
    </row>
    <row r="19" spans="1:6" ht="18" customHeight="1" x14ac:dyDescent="0.25">
      <c r="B19" s="6" t="s">
        <v>17</v>
      </c>
      <c r="C19" s="7">
        <v>2024</v>
      </c>
      <c r="D19" s="7">
        <v>2025</v>
      </c>
      <c r="E19" s="7">
        <v>2026</v>
      </c>
      <c r="F19" s="7">
        <v>2027</v>
      </c>
    </row>
    <row r="20" spans="1:6" ht="18" customHeight="1" x14ac:dyDescent="0.25">
      <c r="B20" s="6" t="s">
        <v>18</v>
      </c>
      <c r="C20" s="8"/>
      <c r="D20" s="8"/>
      <c r="E20" s="8"/>
      <c r="F20" s="8"/>
    </row>
    <row r="21" spans="1:6" ht="18" customHeight="1" x14ac:dyDescent="0.25">
      <c r="B21" s="6" t="s">
        <v>19</v>
      </c>
      <c r="C21" s="8"/>
      <c r="D21" s="8"/>
      <c r="E21" s="8"/>
      <c r="F21" s="8"/>
    </row>
    <row r="22" spans="1:6" ht="18" customHeight="1" x14ac:dyDescent="0.25">
      <c r="B22" s="6" t="s">
        <v>20</v>
      </c>
      <c r="C22" s="8"/>
      <c r="D22" s="8"/>
      <c r="E22" s="8"/>
      <c r="F22" s="8"/>
    </row>
    <row r="23" spans="1:6" ht="18" customHeight="1" x14ac:dyDescent="0.25">
      <c r="B23" s="6" t="s">
        <v>21</v>
      </c>
      <c r="C23" s="8"/>
      <c r="D23" s="8"/>
      <c r="E23" s="8"/>
      <c r="F23" s="8"/>
    </row>
    <row r="24" spans="1:6" ht="18" customHeight="1" x14ac:dyDescent="0.25">
      <c r="B24" s="6" t="s">
        <v>22</v>
      </c>
      <c r="C24" s="8"/>
      <c r="D24" s="8"/>
      <c r="E24" s="8"/>
      <c r="F24" s="8"/>
    </row>
    <row r="25" spans="1:6" ht="18.95" customHeight="1" x14ac:dyDescent="0.25">
      <c r="B25" s="9" t="s">
        <v>23</v>
      </c>
      <c r="C25" s="10">
        <f>C22-C23+C24</f>
        <v>0</v>
      </c>
      <c r="D25" s="10">
        <f>D22-D23+D24</f>
        <v>0</v>
      </c>
      <c r="E25" s="10">
        <f>E22-E23+E24</f>
        <v>0</v>
      </c>
      <c r="F25" s="10">
        <f>F22-F23+F24</f>
        <v>0</v>
      </c>
    </row>
    <row r="26" spans="1:6" ht="29.25" customHeight="1" x14ac:dyDescent="0.25">
      <c r="B26" s="25" t="s">
        <v>24</v>
      </c>
      <c r="C26" s="26"/>
      <c r="D26" s="26"/>
      <c r="E26" s="26"/>
      <c r="F26" s="26"/>
    </row>
    <row r="27" spans="1:6" ht="42" customHeight="1" x14ac:dyDescent="0.25">
      <c r="B27" s="32" t="s">
        <v>25</v>
      </c>
      <c r="C27" s="26"/>
      <c r="D27" s="26"/>
      <c r="E27" s="26"/>
      <c r="F27" s="26"/>
    </row>
    <row r="28" spans="1:6" ht="9.9499999999999993" customHeight="1" x14ac:dyDescent="0.25"/>
    <row r="29" spans="1:6" ht="6.95" customHeight="1" x14ac:dyDescent="0.25"/>
    <row r="30" spans="1:6" ht="24" customHeight="1" x14ac:dyDescent="0.25">
      <c r="A30" s="3"/>
      <c r="B30" s="27" t="s">
        <v>26</v>
      </c>
      <c r="C30" s="22"/>
      <c r="D30" s="22"/>
      <c r="E30" s="22"/>
      <c r="F30" s="22"/>
    </row>
    <row r="31" spans="1:6" ht="29.25" customHeight="1" x14ac:dyDescent="0.25">
      <c r="B31" s="28" t="s">
        <v>27</v>
      </c>
      <c r="C31" s="26"/>
      <c r="D31" s="26"/>
      <c r="E31" s="26"/>
      <c r="F31" s="26"/>
    </row>
    <row r="32" spans="1:6" ht="18" customHeight="1" x14ac:dyDescent="0.25">
      <c r="B32" s="6" t="s">
        <v>28</v>
      </c>
      <c r="C32" s="8"/>
      <c r="D32" s="8"/>
      <c r="E32" s="8"/>
      <c r="F32" s="8"/>
    </row>
    <row r="33" spans="1:6" ht="18" customHeight="1" x14ac:dyDescent="0.25">
      <c r="B33" s="6" t="s">
        <v>29</v>
      </c>
      <c r="C33" s="8"/>
      <c r="D33" s="8"/>
      <c r="E33" s="8"/>
      <c r="F33" s="8"/>
    </row>
    <row r="34" spans="1:6" ht="18" customHeight="1" x14ac:dyDescent="0.25">
      <c r="B34" s="6" t="s">
        <v>30</v>
      </c>
      <c r="C34" s="8"/>
      <c r="D34" s="8"/>
      <c r="E34" s="8"/>
      <c r="F34" s="8"/>
    </row>
    <row r="35" spans="1:6" ht="18" customHeight="1" x14ac:dyDescent="0.25">
      <c r="B35" s="6" t="s">
        <v>31</v>
      </c>
      <c r="C35" s="8"/>
      <c r="D35" s="8"/>
      <c r="E35" s="8"/>
      <c r="F35" s="8"/>
    </row>
    <row r="36" spans="1:6" ht="18" customHeight="1" x14ac:dyDescent="0.25">
      <c r="B36" s="6" t="s">
        <v>32</v>
      </c>
      <c r="C36" s="8"/>
      <c r="D36" s="8"/>
      <c r="E36" s="8"/>
      <c r="F36" s="8"/>
    </row>
    <row r="37" spans="1:6" ht="18" customHeight="1" x14ac:dyDescent="0.25">
      <c r="B37" s="6" t="s">
        <v>33</v>
      </c>
      <c r="C37" s="8"/>
      <c r="D37" s="8"/>
      <c r="E37" s="8"/>
      <c r="F37" s="8"/>
    </row>
    <row r="38" spans="1:6" ht="18.95" customHeight="1" x14ac:dyDescent="0.25">
      <c r="B38" s="9" t="s">
        <v>34</v>
      </c>
      <c r="C38" s="10">
        <f>SUM(C32:C37)</f>
        <v>0</v>
      </c>
      <c r="D38" s="10">
        <f>SUM(D32:D37)</f>
        <v>0</v>
      </c>
      <c r="E38" s="10">
        <f>SUM(E32:E37)</f>
        <v>0</v>
      </c>
      <c r="F38" s="10">
        <f>SUM(F32:F37)</f>
        <v>0</v>
      </c>
    </row>
    <row r="39" spans="1:6" ht="24" customHeight="1" x14ac:dyDescent="0.25">
      <c r="B39" s="11" t="s">
        <v>35</v>
      </c>
      <c r="C39" s="12">
        <f>C25+C38</f>
        <v>0</v>
      </c>
      <c r="D39" s="12">
        <f>D25+D38</f>
        <v>0</v>
      </c>
      <c r="E39" s="12">
        <f>E25+E38</f>
        <v>0</v>
      </c>
      <c r="F39" s="12">
        <f>F25+F38</f>
        <v>0</v>
      </c>
    </row>
    <row r="40" spans="1:6" ht="18" customHeight="1" x14ac:dyDescent="0.25">
      <c r="B40" s="13" t="s">
        <v>36</v>
      </c>
      <c r="C40" s="14" t="str">
        <f>IFERROR(C39/C21,"")</f>
        <v/>
      </c>
      <c r="D40" s="14" t="str">
        <f>IFERROR(D39/D21,"")</f>
        <v/>
      </c>
      <c r="E40" s="14" t="str">
        <f>IFERROR(E39/E21,"")</f>
        <v/>
      </c>
      <c r="F40" s="14" t="str">
        <f>IFERROR(F39/F21,"")</f>
        <v/>
      </c>
    </row>
    <row r="41" spans="1:6" ht="29.25" customHeight="1" x14ac:dyDescent="0.25">
      <c r="B41" s="25" t="s">
        <v>37</v>
      </c>
      <c r="C41" s="26"/>
      <c r="D41" s="26"/>
      <c r="E41" s="26"/>
      <c r="F41" s="26"/>
    </row>
    <row r="42" spans="1:6" ht="9.9499999999999993" customHeight="1" x14ac:dyDescent="0.25"/>
    <row r="43" spans="1:6" ht="6.95" customHeight="1" x14ac:dyDescent="0.25"/>
    <row r="44" spans="1:6" ht="24" customHeight="1" x14ac:dyDescent="0.25">
      <c r="A44" s="3"/>
      <c r="B44" s="27" t="s">
        <v>38</v>
      </c>
      <c r="C44" s="22"/>
      <c r="D44" s="22"/>
      <c r="E44" s="22"/>
      <c r="F44" s="22"/>
    </row>
    <row r="45" spans="1:6" ht="29.25" customHeight="1" x14ac:dyDescent="0.25">
      <c r="B45" s="28" t="s">
        <v>39</v>
      </c>
      <c r="C45" s="26"/>
      <c r="D45" s="26"/>
      <c r="E45" s="26"/>
      <c r="F45" s="26"/>
    </row>
    <row r="46" spans="1:6" ht="18.95" customHeight="1" x14ac:dyDescent="0.25">
      <c r="B46" s="6" t="s">
        <v>40</v>
      </c>
      <c r="C46" s="15">
        <v>0.15</v>
      </c>
      <c r="D46" s="15">
        <v>0.35</v>
      </c>
      <c r="E46" s="15">
        <v>0.35</v>
      </c>
      <c r="F46" s="15">
        <v>0.15</v>
      </c>
    </row>
    <row r="47" spans="1:6" ht="18" customHeight="1" x14ac:dyDescent="0.25">
      <c r="B47" s="25" t="str">
        <f>IF(SUM(C46:F46)=1,"Gewichtung ergibt 100 % – passt.","Achtung: Die Gewichtung ergibt "&amp;TEXT(SUM(C46:F46),"0 %")&amp;". Bitte auf 100 % anpassen.")</f>
        <v>Gewichtung ergibt 100 % – passt.</v>
      </c>
      <c r="C47" s="26"/>
      <c r="D47" s="26"/>
      <c r="E47" s="26"/>
      <c r="F47" s="26"/>
    </row>
    <row r="48" spans="1:6" ht="3.95" customHeight="1" x14ac:dyDescent="0.25"/>
    <row r="49" spans="1:6" ht="26.1" customHeight="1" x14ac:dyDescent="0.25">
      <c r="B49" s="37" t="s">
        <v>41</v>
      </c>
      <c r="C49" s="38"/>
      <c r="D49" s="38"/>
      <c r="E49" s="39">
        <f>SUMPRODUCT(C39:F39,C46:F46)</f>
        <v>0</v>
      </c>
      <c r="F49" s="38"/>
    </row>
    <row r="50" spans="1:6" ht="9.9499999999999993" customHeight="1" x14ac:dyDescent="0.25"/>
    <row r="51" spans="1:6" ht="6.95" customHeight="1" x14ac:dyDescent="0.25"/>
    <row r="52" spans="1:6" ht="24" customHeight="1" x14ac:dyDescent="0.25">
      <c r="A52" s="3"/>
      <c r="B52" s="27" t="s">
        <v>42</v>
      </c>
      <c r="C52" s="22"/>
      <c r="D52" s="22"/>
      <c r="E52" s="22"/>
      <c r="F52" s="22"/>
    </row>
    <row r="53" spans="1:6" ht="29.25" customHeight="1" x14ac:dyDescent="0.25">
      <c r="B53" s="28" t="s">
        <v>43</v>
      </c>
      <c r="C53" s="26"/>
      <c r="D53" s="26"/>
      <c r="E53" s="26"/>
      <c r="F53" s="26"/>
    </row>
    <row r="54" spans="1:6" ht="29.25" customHeight="1" x14ac:dyDescent="0.25">
      <c r="B54" s="28" t="s">
        <v>44</v>
      </c>
      <c r="C54" s="26"/>
      <c r="D54" s="26"/>
      <c r="E54" s="26"/>
      <c r="F54" s="26"/>
    </row>
    <row r="55" spans="1:6" ht="29.25" customHeight="1" x14ac:dyDescent="0.25">
      <c r="B55" s="32" t="s">
        <v>45</v>
      </c>
      <c r="C55" s="26"/>
      <c r="D55" s="26"/>
      <c r="E55" s="26"/>
      <c r="F55" s="26"/>
    </row>
    <row r="56" spans="1:6" ht="18" customHeight="1" x14ac:dyDescent="0.25">
      <c r="D56" s="16" t="s">
        <v>46</v>
      </c>
      <c r="E56" s="16" t="s">
        <v>47</v>
      </c>
      <c r="F56" s="16" t="s">
        <v>48</v>
      </c>
    </row>
    <row r="57" spans="1:6" ht="21" customHeight="1" x14ac:dyDescent="0.25">
      <c r="B57" s="6" t="s">
        <v>49</v>
      </c>
      <c r="C57" s="17"/>
      <c r="D57" s="18"/>
      <c r="E57" s="18"/>
      <c r="F57" s="18"/>
    </row>
    <row r="58" spans="1:6" ht="9.9499999999999993" customHeight="1" x14ac:dyDescent="0.25"/>
    <row r="59" spans="1:6" ht="6.95" customHeight="1" x14ac:dyDescent="0.25"/>
    <row r="60" spans="1:6" ht="24" customHeight="1" x14ac:dyDescent="0.25">
      <c r="A60" s="3"/>
      <c r="B60" s="27" t="s">
        <v>50</v>
      </c>
      <c r="C60" s="22"/>
      <c r="D60" s="22"/>
      <c r="E60" s="22"/>
      <c r="F60" s="22"/>
    </row>
    <row r="61" spans="1:6" ht="18" customHeight="1" x14ac:dyDescent="0.25">
      <c r="D61" s="16" t="s">
        <v>46</v>
      </c>
      <c r="E61" s="16" t="s">
        <v>47</v>
      </c>
      <c r="F61" s="16" t="s">
        <v>48</v>
      </c>
    </row>
    <row r="62" spans="1:6" ht="32.1" customHeight="1" x14ac:dyDescent="0.25">
      <c r="A62" s="3"/>
      <c r="B62" s="24" t="s">
        <v>51</v>
      </c>
      <c r="C62" s="22"/>
      <c r="D62" s="19">
        <f>$E$49*D57</f>
        <v>0</v>
      </c>
      <c r="E62" s="19">
        <f>$E$49*E57</f>
        <v>0</v>
      </c>
      <c r="F62" s="19">
        <f>$E$49*F57</f>
        <v>0</v>
      </c>
    </row>
    <row r="63" spans="1:6" ht="29.25" customHeight="1" x14ac:dyDescent="0.25">
      <c r="B63" s="32" t="s">
        <v>52</v>
      </c>
      <c r="C63" s="26"/>
      <c r="D63" s="26"/>
      <c r="E63" s="26"/>
      <c r="F63" s="26"/>
    </row>
    <row r="64" spans="1:6" ht="42" customHeight="1" x14ac:dyDescent="0.25">
      <c r="B64" s="32" t="s">
        <v>53</v>
      </c>
      <c r="C64" s="26"/>
      <c r="D64" s="26"/>
      <c r="E64" s="26"/>
      <c r="F64" s="26"/>
    </row>
    <row r="65" spans="1:6" ht="9.9499999999999993" customHeight="1" x14ac:dyDescent="0.25"/>
    <row r="66" spans="1:6" ht="6.95" customHeight="1" x14ac:dyDescent="0.25"/>
    <row r="67" spans="1:6" ht="24" customHeight="1" x14ac:dyDescent="0.25">
      <c r="A67" s="3"/>
      <c r="B67" s="27" t="s">
        <v>54</v>
      </c>
      <c r="C67" s="22"/>
      <c r="D67" s="22"/>
      <c r="E67" s="22"/>
      <c r="F67" s="22"/>
    </row>
    <row r="68" spans="1:6" ht="29.25" customHeight="1" x14ac:dyDescent="0.25">
      <c r="B68" s="28" t="s">
        <v>55</v>
      </c>
      <c r="C68" s="26"/>
      <c r="D68" s="26"/>
      <c r="E68" s="26"/>
      <c r="F68" s="26"/>
    </row>
    <row r="69" spans="1:6" ht="54.75" customHeight="1" x14ac:dyDescent="0.25">
      <c r="B69" s="28" t="s">
        <v>56</v>
      </c>
      <c r="C69" s="26"/>
      <c r="D69" s="26"/>
      <c r="E69" s="26"/>
      <c r="F69" s="26"/>
    </row>
    <row r="70" spans="1:6" ht="18" customHeight="1" x14ac:dyDescent="0.25">
      <c r="F70" s="16" t="s">
        <v>57</v>
      </c>
    </row>
    <row r="71" spans="1:6" ht="18" customHeight="1" x14ac:dyDescent="0.25">
      <c r="B71" s="29" t="s">
        <v>58</v>
      </c>
      <c r="C71" s="30"/>
      <c r="D71" s="30"/>
      <c r="E71" s="30"/>
      <c r="F71" s="8"/>
    </row>
    <row r="72" spans="1:6" ht="18" customHeight="1" x14ac:dyDescent="0.25">
      <c r="B72" s="29" t="s">
        <v>59</v>
      </c>
      <c r="C72" s="30"/>
      <c r="D72" s="30"/>
      <c r="E72" s="30"/>
      <c r="F72" s="8"/>
    </row>
    <row r="73" spans="1:6" ht="18" customHeight="1" x14ac:dyDescent="0.25">
      <c r="B73" s="29" t="s">
        <v>60</v>
      </c>
      <c r="C73" s="30"/>
      <c r="D73" s="30"/>
      <c r="E73" s="30"/>
      <c r="F73" s="8"/>
    </row>
    <row r="74" spans="1:6" ht="18" customHeight="1" x14ac:dyDescent="0.25">
      <c r="B74" s="29" t="s">
        <v>61</v>
      </c>
      <c r="C74" s="30"/>
      <c r="D74" s="30"/>
      <c r="E74" s="30"/>
      <c r="F74" s="8"/>
    </row>
    <row r="75" spans="1:6" ht="18.95" customHeight="1" x14ac:dyDescent="0.25">
      <c r="B75" s="33" t="s">
        <v>62</v>
      </c>
      <c r="C75" s="34"/>
      <c r="D75" s="34"/>
      <c r="E75" s="34"/>
      <c r="F75" s="10">
        <f>SUM(F71:F74)</f>
        <v>0</v>
      </c>
    </row>
    <row r="76" spans="1:6" ht="8.1" customHeight="1" x14ac:dyDescent="0.25"/>
    <row r="77" spans="1:6" ht="18" customHeight="1" x14ac:dyDescent="0.25">
      <c r="D77" s="16" t="s">
        <v>46</v>
      </c>
      <c r="E77" s="16" t="s">
        <v>47</v>
      </c>
      <c r="F77" s="16" t="s">
        <v>48</v>
      </c>
    </row>
    <row r="78" spans="1:6" ht="32.1" customHeight="1" x14ac:dyDescent="0.25">
      <c r="A78" s="3"/>
      <c r="B78" s="24" t="s">
        <v>63</v>
      </c>
      <c r="C78" s="22"/>
      <c r="D78" s="19">
        <f>IF(D62="","",D62+$F$75)</f>
        <v>0</v>
      </c>
      <c r="E78" s="19">
        <f>IF(E62="","",E62+$F$75)</f>
        <v>0</v>
      </c>
      <c r="F78" s="19">
        <f>IF(F62="","",F62+$F$75)</f>
        <v>0</v>
      </c>
    </row>
    <row r="79" spans="1:6" ht="29.25" customHeight="1" x14ac:dyDescent="0.25">
      <c r="B79" s="32" t="s">
        <v>64</v>
      </c>
      <c r="C79" s="26"/>
      <c r="D79" s="26"/>
      <c r="E79" s="26"/>
      <c r="F79" s="26"/>
    </row>
    <row r="80" spans="1:6" ht="9.9499999999999993" customHeight="1" x14ac:dyDescent="0.25"/>
    <row r="81" spans="1:6" ht="6.95" customHeight="1" x14ac:dyDescent="0.25"/>
    <row r="82" spans="1:6" ht="24" customHeight="1" x14ac:dyDescent="0.25">
      <c r="A82" s="3"/>
      <c r="B82" s="27" t="s">
        <v>65</v>
      </c>
      <c r="C82" s="22"/>
      <c r="D82" s="22"/>
      <c r="E82" s="22"/>
      <c r="F82" s="22"/>
    </row>
    <row r="83" spans="1:6" ht="45.95" customHeight="1" x14ac:dyDescent="0.25">
      <c r="B83" s="40" t="s">
        <v>66</v>
      </c>
      <c r="C83" s="41"/>
      <c r="D83" s="41"/>
      <c r="E83" s="41"/>
      <c r="F83" s="41"/>
    </row>
    <row r="84" spans="1:6" ht="6" customHeight="1" x14ac:dyDescent="0.25"/>
    <row r="85" spans="1:6" ht="42" customHeight="1" x14ac:dyDescent="0.25">
      <c r="B85" s="20" t="s">
        <v>67</v>
      </c>
      <c r="C85" s="35" t="s">
        <v>68</v>
      </c>
      <c r="D85" s="36"/>
      <c r="E85" s="36"/>
      <c r="F85" s="36"/>
    </row>
    <row r="86" spans="1:6" ht="42" customHeight="1" x14ac:dyDescent="0.25">
      <c r="B86" s="20" t="s">
        <v>69</v>
      </c>
      <c r="C86" s="35" t="s">
        <v>70</v>
      </c>
      <c r="D86" s="36"/>
      <c r="E86" s="36"/>
      <c r="F86" s="36"/>
    </row>
    <row r="87" spans="1:6" ht="42" customHeight="1" x14ac:dyDescent="0.25">
      <c r="B87" s="20" t="s">
        <v>71</v>
      </c>
      <c r="C87" s="35" t="s">
        <v>72</v>
      </c>
      <c r="D87" s="36"/>
      <c r="E87" s="36"/>
      <c r="F87" s="36"/>
    </row>
    <row r="88" spans="1:6" ht="42" customHeight="1" x14ac:dyDescent="0.25">
      <c r="B88" s="20" t="s">
        <v>73</v>
      </c>
      <c r="C88" s="35" t="s">
        <v>74</v>
      </c>
      <c r="D88" s="36"/>
      <c r="E88" s="36"/>
      <c r="F88" s="36"/>
    </row>
    <row r="89" spans="1:6" ht="42" customHeight="1" x14ac:dyDescent="0.25">
      <c r="B89" s="20" t="s">
        <v>75</v>
      </c>
      <c r="C89" s="35" t="s">
        <v>76</v>
      </c>
      <c r="D89" s="36"/>
      <c r="E89" s="36"/>
      <c r="F89" s="36"/>
    </row>
    <row r="90" spans="1:6" ht="42" customHeight="1" x14ac:dyDescent="0.25">
      <c r="B90" s="20" t="s">
        <v>77</v>
      </c>
      <c r="C90" s="35" t="s">
        <v>78</v>
      </c>
      <c r="D90" s="36"/>
      <c r="E90" s="36"/>
      <c r="F90" s="36"/>
    </row>
    <row r="91" spans="1:6" ht="6" customHeight="1" x14ac:dyDescent="0.25"/>
    <row r="92" spans="1:6" ht="29.25" customHeight="1" x14ac:dyDescent="0.25">
      <c r="B92" s="32" t="s">
        <v>79</v>
      </c>
      <c r="C92" s="26"/>
      <c r="D92" s="26"/>
      <c r="E92" s="26"/>
      <c r="F92" s="26"/>
    </row>
    <row r="93" spans="1:6" ht="9.9499999999999993" customHeight="1" x14ac:dyDescent="0.25"/>
    <row r="94" spans="1:6" ht="27.75" customHeight="1" x14ac:dyDescent="0.25">
      <c r="B94" s="42" t="s">
        <v>80</v>
      </c>
      <c r="C94" s="36"/>
      <c r="D94" s="36"/>
      <c r="E94" s="36"/>
      <c r="F94" s="36"/>
    </row>
  </sheetData>
  <mergeCells count="49">
    <mergeCell ref="B94:F94"/>
    <mergeCell ref="B45:F45"/>
    <mergeCell ref="B63:F63"/>
    <mergeCell ref="B79:F79"/>
    <mergeCell ref="B26:F26"/>
    <mergeCell ref="B41:F41"/>
    <mergeCell ref="B92:F92"/>
    <mergeCell ref="B30:F30"/>
    <mergeCell ref="B68:F68"/>
    <mergeCell ref="B83:F83"/>
    <mergeCell ref="B55:F55"/>
    <mergeCell ref="B64:F64"/>
    <mergeCell ref="B73:E73"/>
    <mergeCell ref="C90:F90"/>
    <mergeCell ref="C89:F89"/>
    <mergeCell ref="B44:F44"/>
    <mergeCell ref="B53:F53"/>
    <mergeCell ref="B82:F82"/>
    <mergeCell ref="B71:E71"/>
    <mergeCell ref="B69:F69"/>
    <mergeCell ref="B78:C78"/>
    <mergeCell ref="C88:F88"/>
    <mergeCell ref="E49:F49"/>
    <mergeCell ref="C85:F85"/>
    <mergeCell ref="B75:E75"/>
    <mergeCell ref="C87:F87"/>
    <mergeCell ref="B11:F11"/>
    <mergeCell ref="B49:D49"/>
    <mergeCell ref="C86:F86"/>
    <mergeCell ref="B60:F60"/>
    <mergeCell ref="B67:F67"/>
    <mergeCell ref="B72:E72"/>
    <mergeCell ref="B17:F17"/>
    <mergeCell ref="B13:F13"/>
    <mergeCell ref="B74:E74"/>
    <mergeCell ref="B3:F3"/>
    <mergeCell ref="B31:F31"/>
    <mergeCell ref="B27:F27"/>
    <mergeCell ref="B52:F52"/>
    <mergeCell ref="B12:F12"/>
    <mergeCell ref="B8:F8"/>
    <mergeCell ref="B10:F10"/>
    <mergeCell ref="B9:F9"/>
    <mergeCell ref="D2:F2"/>
    <mergeCell ref="B4:F4"/>
    <mergeCell ref="B62:C62"/>
    <mergeCell ref="B47:F47"/>
    <mergeCell ref="B16:F16"/>
    <mergeCell ref="B54:F54"/>
  </mergeCells>
  <printOptions horizontalCentered="1"/>
  <pageMargins left="0.4" right="0.4" top="0.4" bottom="0.4" header="0.5" footer="0.5"/>
  <pageSetup paperSize="9" fitToHeight="0" orientation="landscape"/>
  <rowBreaks count="4" manualBreakCount="4">
    <brk id="29" max="16383" man="1"/>
    <brk id="51" max="16383" man="1"/>
    <brk id="66" max="16383" man="1"/>
    <brk id="8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E7A1E"/>
    <pageSetUpPr fitToPage="1"/>
  </sheetPr>
  <dimension ref="A1:G88"/>
  <sheetViews>
    <sheetView showGridLines="0" workbookViewId="0"/>
  </sheetViews>
  <sheetFormatPr baseColWidth="10" defaultColWidth="9.140625" defaultRowHeight="15" x14ac:dyDescent="0.25"/>
  <cols>
    <col min="1" max="1" width="2.140625" customWidth="1"/>
    <col min="2" max="2" width="74" customWidth="1"/>
    <col min="3" max="6" width="16" customWidth="1"/>
    <col min="7" max="7" width="2.140625" customWidth="1"/>
    <col min="26" max="26" width="9.140625" customWidth="1"/>
  </cols>
  <sheetData>
    <row r="1" spans="1:7" ht="6" customHeight="1" x14ac:dyDescent="0.25">
      <c r="A1" s="1"/>
      <c r="B1" s="1"/>
      <c r="C1" s="1"/>
      <c r="D1" s="1"/>
      <c r="E1" s="1"/>
      <c r="F1" s="1"/>
      <c r="G1" s="1"/>
    </row>
    <row r="2" spans="1:7" ht="18" customHeight="1" x14ac:dyDescent="0.25">
      <c r="A2" s="1"/>
      <c r="B2" s="2" t="s">
        <v>0</v>
      </c>
      <c r="C2" s="1"/>
      <c r="D2" s="21" t="s">
        <v>1</v>
      </c>
      <c r="E2" s="22"/>
      <c r="F2" s="22"/>
      <c r="G2" s="1"/>
    </row>
    <row r="3" spans="1:7" ht="30" customHeight="1" x14ac:dyDescent="0.25">
      <c r="A3" s="1"/>
      <c r="B3" s="31" t="s">
        <v>81</v>
      </c>
      <c r="C3" s="22"/>
      <c r="D3" s="22"/>
      <c r="E3" s="22"/>
      <c r="F3" s="22"/>
      <c r="G3" s="1"/>
    </row>
    <row r="4" spans="1:7" ht="18.95" customHeight="1" x14ac:dyDescent="0.25">
      <c r="A4" s="1"/>
      <c r="B4" s="23" t="s">
        <v>3</v>
      </c>
      <c r="C4" s="22"/>
      <c r="D4" s="22"/>
      <c r="E4" s="22"/>
      <c r="F4" s="22"/>
      <c r="G4" s="1"/>
    </row>
    <row r="5" spans="1:7" ht="8.1" customHeight="1" x14ac:dyDescent="0.25">
      <c r="A5" s="1"/>
      <c r="B5" s="1"/>
      <c r="C5" s="1"/>
      <c r="D5" s="1"/>
      <c r="E5" s="1"/>
      <c r="F5" s="1"/>
      <c r="G5" s="1"/>
    </row>
    <row r="6" spans="1:7" ht="9.9499999999999993" customHeight="1" x14ac:dyDescent="0.25"/>
    <row r="7" spans="1:7" ht="30" customHeight="1" x14ac:dyDescent="0.25">
      <c r="B7" s="43" t="s">
        <v>82</v>
      </c>
      <c r="C7" s="41"/>
      <c r="D7" s="41"/>
      <c r="E7" s="41"/>
      <c r="F7" s="41"/>
    </row>
    <row r="8" spans="1:7" ht="9.9499999999999993" customHeight="1" x14ac:dyDescent="0.25"/>
    <row r="9" spans="1:7" ht="6.95" customHeight="1" x14ac:dyDescent="0.25"/>
    <row r="10" spans="1:7" ht="24" customHeight="1" x14ac:dyDescent="0.25">
      <c r="A10" s="3"/>
      <c r="B10" s="27" t="s">
        <v>10</v>
      </c>
      <c r="C10" s="22"/>
      <c r="D10" s="22"/>
      <c r="E10" s="22"/>
      <c r="F10" s="22"/>
    </row>
    <row r="11" spans="1:7" ht="18" customHeight="1" x14ac:dyDescent="0.25">
      <c r="B11" s="28" t="s">
        <v>11</v>
      </c>
      <c r="C11" s="26"/>
      <c r="D11" s="26"/>
      <c r="E11" s="26"/>
      <c r="F11" s="26"/>
    </row>
    <row r="12" spans="1:7" ht="39.75" customHeight="1" x14ac:dyDescent="0.25">
      <c r="B12" s="4" t="s">
        <v>12</v>
      </c>
      <c r="C12" s="5" t="s">
        <v>13</v>
      </c>
      <c r="D12" s="5" t="s">
        <v>14</v>
      </c>
      <c r="E12" s="5" t="s">
        <v>15</v>
      </c>
      <c r="F12" s="5" t="s">
        <v>16</v>
      </c>
    </row>
    <row r="13" spans="1:7" ht="18" customHeight="1" x14ac:dyDescent="0.25">
      <c r="B13" s="6" t="s">
        <v>17</v>
      </c>
      <c r="C13" s="7">
        <v>2024</v>
      </c>
      <c r="D13" s="7">
        <v>2025</v>
      </c>
      <c r="E13" s="7">
        <v>2026</v>
      </c>
      <c r="F13" s="7">
        <v>2027</v>
      </c>
    </row>
    <row r="14" spans="1:7" ht="18" customHeight="1" x14ac:dyDescent="0.25">
      <c r="B14" s="6" t="s">
        <v>18</v>
      </c>
      <c r="C14" s="8">
        <v>1150000</v>
      </c>
      <c r="D14" s="8">
        <v>1240000</v>
      </c>
      <c r="E14" s="8">
        <v>1310000</v>
      </c>
      <c r="F14" s="8">
        <v>1390000</v>
      </c>
    </row>
    <row r="15" spans="1:7" ht="18" customHeight="1" x14ac:dyDescent="0.25">
      <c r="B15" s="6" t="s">
        <v>19</v>
      </c>
      <c r="C15" s="8">
        <v>1160000</v>
      </c>
      <c r="D15" s="8">
        <v>1250000</v>
      </c>
      <c r="E15" s="8">
        <v>1320000</v>
      </c>
      <c r="F15" s="8">
        <v>1400000</v>
      </c>
    </row>
    <row r="16" spans="1:7" ht="18" customHeight="1" x14ac:dyDescent="0.25">
      <c r="B16" s="6" t="s">
        <v>20</v>
      </c>
      <c r="C16" s="8">
        <v>105000</v>
      </c>
      <c r="D16" s="8">
        <v>162000</v>
      </c>
      <c r="E16" s="8">
        <v>166000</v>
      </c>
      <c r="F16" s="8">
        <v>190000</v>
      </c>
    </row>
    <row r="17" spans="1:6" ht="18" customHeight="1" x14ac:dyDescent="0.25">
      <c r="B17" s="6" t="s">
        <v>21</v>
      </c>
      <c r="C17" s="8">
        <v>-8000</v>
      </c>
      <c r="D17" s="8">
        <v>-7000</v>
      </c>
      <c r="E17" s="8">
        <v>-6000</v>
      </c>
      <c r="F17" s="8">
        <v>-5000</v>
      </c>
    </row>
    <row r="18" spans="1:6" ht="18" customHeight="1" x14ac:dyDescent="0.25">
      <c r="B18" s="6" t="s">
        <v>22</v>
      </c>
      <c r="C18" s="8">
        <v>42000</v>
      </c>
      <c r="D18" s="8">
        <v>44000</v>
      </c>
      <c r="E18" s="8">
        <v>46000</v>
      </c>
      <c r="F18" s="8">
        <v>48000</v>
      </c>
    </row>
    <row r="19" spans="1:6" ht="18.95" customHeight="1" x14ac:dyDescent="0.25">
      <c r="B19" s="9" t="s">
        <v>23</v>
      </c>
      <c r="C19" s="10">
        <f>C16-C17+C18</f>
        <v>155000</v>
      </c>
      <c r="D19" s="10">
        <f>D16-D17+D18</f>
        <v>213000</v>
      </c>
      <c r="E19" s="10">
        <f>E16-E17+E18</f>
        <v>218000</v>
      </c>
      <c r="F19" s="10">
        <f>F16-F17+F18</f>
        <v>243000</v>
      </c>
    </row>
    <row r="20" spans="1:6" ht="29.25" customHeight="1" x14ac:dyDescent="0.25">
      <c r="B20" s="25" t="s">
        <v>24</v>
      </c>
      <c r="C20" s="26"/>
      <c r="D20" s="26"/>
      <c r="E20" s="26"/>
      <c r="F20" s="26"/>
    </row>
    <row r="21" spans="1:6" ht="42" customHeight="1" x14ac:dyDescent="0.25">
      <c r="B21" s="32" t="s">
        <v>25</v>
      </c>
      <c r="C21" s="26"/>
      <c r="D21" s="26"/>
      <c r="E21" s="26"/>
      <c r="F21" s="26"/>
    </row>
    <row r="22" spans="1:6" ht="9.9499999999999993" customHeight="1" x14ac:dyDescent="0.25"/>
    <row r="23" spans="1:6" ht="6.95" customHeight="1" x14ac:dyDescent="0.25"/>
    <row r="24" spans="1:6" ht="24" customHeight="1" x14ac:dyDescent="0.25">
      <c r="A24" s="3"/>
      <c r="B24" s="27" t="s">
        <v>26</v>
      </c>
      <c r="C24" s="22"/>
      <c r="D24" s="22"/>
      <c r="E24" s="22"/>
      <c r="F24" s="22"/>
    </row>
    <row r="25" spans="1:6" ht="29.25" customHeight="1" x14ac:dyDescent="0.25">
      <c r="B25" s="28" t="s">
        <v>27</v>
      </c>
      <c r="C25" s="26"/>
      <c r="D25" s="26"/>
      <c r="E25" s="26"/>
      <c r="F25" s="26"/>
    </row>
    <row r="26" spans="1:6" ht="18" customHeight="1" x14ac:dyDescent="0.25">
      <c r="B26" s="6" t="s">
        <v>28</v>
      </c>
      <c r="C26" s="8">
        <v>-20000</v>
      </c>
      <c r="D26" s="8">
        <v>-20000</v>
      </c>
      <c r="E26" s="8">
        <v>-20000</v>
      </c>
      <c r="F26" s="8">
        <v>-20000</v>
      </c>
    </row>
    <row r="27" spans="1:6" ht="18" customHeight="1" x14ac:dyDescent="0.25">
      <c r="B27" s="6" t="s">
        <v>29</v>
      </c>
      <c r="C27" s="8">
        <v>12000</v>
      </c>
      <c r="D27" s="8">
        <v>12000</v>
      </c>
      <c r="E27" s="8">
        <v>12000</v>
      </c>
      <c r="F27" s="8">
        <v>12000</v>
      </c>
    </row>
    <row r="28" spans="1:6" ht="18" customHeight="1" x14ac:dyDescent="0.25">
      <c r="B28" s="6" t="s">
        <v>30</v>
      </c>
      <c r="C28" s="8">
        <v>18000</v>
      </c>
      <c r="D28" s="8">
        <v>0</v>
      </c>
      <c r="E28" s="8">
        <v>0</v>
      </c>
      <c r="F28" s="8">
        <v>0</v>
      </c>
    </row>
    <row r="29" spans="1:6" ht="18" customHeight="1" x14ac:dyDescent="0.25">
      <c r="B29" s="6" t="s">
        <v>31</v>
      </c>
      <c r="C29" s="8">
        <v>0</v>
      </c>
      <c r="D29" s="8">
        <v>-15000</v>
      </c>
      <c r="E29" s="8">
        <v>0</v>
      </c>
      <c r="F29" s="8">
        <v>0</v>
      </c>
    </row>
    <row r="30" spans="1:6" ht="18" customHeight="1" x14ac:dyDescent="0.25">
      <c r="B30" s="6" t="s">
        <v>32</v>
      </c>
      <c r="C30" s="8">
        <v>0</v>
      </c>
      <c r="D30" s="8">
        <v>0</v>
      </c>
      <c r="E30" s="8">
        <v>0</v>
      </c>
      <c r="F30" s="8">
        <v>0</v>
      </c>
    </row>
    <row r="31" spans="1:6" ht="18" customHeight="1" x14ac:dyDescent="0.25">
      <c r="B31" s="6" t="s">
        <v>33</v>
      </c>
      <c r="C31" s="8">
        <v>0</v>
      </c>
      <c r="D31" s="8">
        <v>0</v>
      </c>
      <c r="E31" s="8">
        <v>0</v>
      </c>
      <c r="F31" s="8">
        <v>0</v>
      </c>
    </row>
    <row r="32" spans="1:6" ht="18.95" customHeight="1" x14ac:dyDescent="0.25">
      <c r="B32" s="9" t="s">
        <v>34</v>
      </c>
      <c r="C32" s="10">
        <f>SUM(C26:C31)</f>
        <v>10000</v>
      </c>
      <c r="D32" s="10">
        <f>SUM(D26:D31)</f>
        <v>-23000</v>
      </c>
      <c r="E32" s="10">
        <f>SUM(E26:E31)</f>
        <v>-8000</v>
      </c>
      <c r="F32" s="10">
        <f>SUM(F26:F31)</f>
        <v>-8000</v>
      </c>
    </row>
    <row r="33" spans="1:6" ht="24" customHeight="1" x14ac:dyDescent="0.25">
      <c r="B33" s="11" t="s">
        <v>35</v>
      </c>
      <c r="C33" s="12">
        <f>C19+C32</f>
        <v>165000</v>
      </c>
      <c r="D33" s="12">
        <f>D19+D32</f>
        <v>190000</v>
      </c>
      <c r="E33" s="12">
        <f>E19+E32</f>
        <v>210000</v>
      </c>
      <c r="F33" s="12">
        <f>F19+F32</f>
        <v>235000</v>
      </c>
    </row>
    <row r="34" spans="1:6" ht="18" customHeight="1" x14ac:dyDescent="0.25">
      <c r="B34" s="13" t="s">
        <v>36</v>
      </c>
      <c r="C34" s="14">
        <f>IFERROR(C33/C15,"")</f>
        <v>0.14224137931034483</v>
      </c>
      <c r="D34" s="14">
        <f>IFERROR(D33/D15,"")</f>
        <v>0.152</v>
      </c>
      <c r="E34" s="14">
        <f>IFERROR(E33/E15,"")</f>
        <v>0.15909090909090909</v>
      </c>
      <c r="F34" s="14">
        <f>IFERROR(F33/F15,"")</f>
        <v>0.16785714285714284</v>
      </c>
    </row>
    <row r="35" spans="1:6" ht="29.25" customHeight="1" x14ac:dyDescent="0.25">
      <c r="B35" s="25" t="s">
        <v>37</v>
      </c>
      <c r="C35" s="26"/>
      <c r="D35" s="26"/>
      <c r="E35" s="26"/>
      <c r="F35" s="26"/>
    </row>
    <row r="36" spans="1:6" ht="9.9499999999999993" customHeight="1" x14ac:dyDescent="0.25"/>
    <row r="37" spans="1:6" ht="6.95" customHeight="1" x14ac:dyDescent="0.25"/>
    <row r="38" spans="1:6" ht="24" customHeight="1" x14ac:dyDescent="0.25">
      <c r="A38" s="3"/>
      <c r="B38" s="27" t="s">
        <v>38</v>
      </c>
      <c r="C38" s="22"/>
      <c r="D38" s="22"/>
      <c r="E38" s="22"/>
      <c r="F38" s="22"/>
    </row>
    <row r="39" spans="1:6" ht="29.25" customHeight="1" x14ac:dyDescent="0.25">
      <c r="B39" s="28" t="s">
        <v>39</v>
      </c>
      <c r="C39" s="26"/>
      <c r="D39" s="26"/>
      <c r="E39" s="26"/>
      <c r="F39" s="26"/>
    </row>
    <row r="40" spans="1:6" ht="18.95" customHeight="1" x14ac:dyDescent="0.25">
      <c r="B40" s="6" t="s">
        <v>40</v>
      </c>
      <c r="C40" s="15">
        <v>0.15</v>
      </c>
      <c r="D40" s="15">
        <v>0.35</v>
      </c>
      <c r="E40" s="15">
        <v>0.35</v>
      </c>
      <c r="F40" s="15">
        <v>0.15</v>
      </c>
    </row>
    <row r="41" spans="1:6" ht="18" customHeight="1" x14ac:dyDescent="0.25">
      <c r="B41" s="25" t="str">
        <f>IF(SUM(C40:F40)=1,"Gewichtung ergibt 100 % – passt.","Achtung: Die Gewichtung ergibt "&amp;TEXT(SUM(C40:F40),"0 %")&amp;". Bitte auf 100 % anpassen.")</f>
        <v>Gewichtung ergibt 100 % – passt.</v>
      </c>
      <c r="C41" s="26"/>
      <c r="D41" s="26"/>
      <c r="E41" s="26"/>
      <c r="F41" s="26"/>
    </row>
    <row r="42" spans="1:6" ht="3.95" customHeight="1" x14ac:dyDescent="0.25"/>
    <row r="43" spans="1:6" ht="26.1" customHeight="1" x14ac:dyDescent="0.25">
      <c r="B43" s="37" t="s">
        <v>41</v>
      </c>
      <c r="C43" s="38"/>
      <c r="D43" s="38"/>
      <c r="E43" s="39">
        <f>SUMPRODUCT(C33:F33,C40:F40)</f>
        <v>200000</v>
      </c>
      <c r="F43" s="38"/>
    </row>
    <row r="44" spans="1:6" ht="9.9499999999999993" customHeight="1" x14ac:dyDescent="0.25"/>
    <row r="45" spans="1:6" ht="6.95" customHeight="1" x14ac:dyDescent="0.25"/>
    <row r="46" spans="1:6" ht="24" customHeight="1" x14ac:dyDescent="0.25">
      <c r="A46" s="3"/>
      <c r="B46" s="27" t="s">
        <v>42</v>
      </c>
      <c r="C46" s="22"/>
      <c r="D46" s="22"/>
      <c r="E46" s="22"/>
      <c r="F46" s="22"/>
    </row>
    <row r="47" spans="1:6" ht="29.25" customHeight="1" x14ac:dyDescent="0.25">
      <c r="B47" s="28" t="s">
        <v>43</v>
      </c>
      <c r="C47" s="26"/>
      <c r="D47" s="26"/>
      <c r="E47" s="26"/>
      <c r="F47" s="26"/>
    </row>
    <row r="48" spans="1:6" ht="29.25" customHeight="1" x14ac:dyDescent="0.25">
      <c r="B48" s="28" t="s">
        <v>44</v>
      </c>
      <c r="C48" s="26"/>
      <c r="D48" s="26"/>
      <c r="E48" s="26"/>
      <c r="F48" s="26"/>
    </row>
    <row r="49" spans="1:6" ht="29.25" customHeight="1" x14ac:dyDescent="0.25">
      <c r="B49" s="32" t="s">
        <v>45</v>
      </c>
      <c r="C49" s="26"/>
      <c r="D49" s="26"/>
      <c r="E49" s="26"/>
      <c r="F49" s="26"/>
    </row>
    <row r="50" spans="1:6" ht="18" customHeight="1" x14ac:dyDescent="0.25">
      <c r="D50" s="16" t="s">
        <v>46</v>
      </c>
      <c r="E50" s="16" t="s">
        <v>47</v>
      </c>
      <c r="F50" s="16" t="s">
        <v>48</v>
      </c>
    </row>
    <row r="51" spans="1:6" ht="21" customHeight="1" x14ac:dyDescent="0.25">
      <c r="B51" s="6" t="s">
        <v>49</v>
      </c>
      <c r="C51" s="17"/>
      <c r="D51" s="18">
        <v>3</v>
      </c>
      <c r="E51" s="18">
        <v>4</v>
      </c>
      <c r="F51" s="18">
        <v>5</v>
      </c>
    </row>
    <row r="52" spans="1:6" ht="9.9499999999999993" customHeight="1" x14ac:dyDescent="0.25"/>
    <row r="53" spans="1:6" ht="6.95" customHeight="1" x14ac:dyDescent="0.25"/>
    <row r="54" spans="1:6" ht="24" customHeight="1" x14ac:dyDescent="0.25">
      <c r="A54" s="3"/>
      <c r="B54" s="27" t="s">
        <v>50</v>
      </c>
      <c r="C54" s="22"/>
      <c r="D54" s="22"/>
      <c r="E54" s="22"/>
      <c r="F54" s="22"/>
    </row>
    <row r="55" spans="1:6" ht="18" customHeight="1" x14ac:dyDescent="0.25">
      <c r="D55" s="16" t="s">
        <v>46</v>
      </c>
      <c r="E55" s="16" t="s">
        <v>47</v>
      </c>
      <c r="F55" s="16" t="s">
        <v>48</v>
      </c>
    </row>
    <row r="56" spans="1:6" ht="32.1" customHeight="1" x14ac:dyDescent="0.25">
      <c r="A56" s="3"/>
      <c r="B56" s="24" t="s">
        <v>51</v>
      </c>
      <c r="C56" s="22"/>
      <c r="D56" s="19">
        <f>$E$43*D51</f>
        <v>600000</v>
      </c>
      <c r="E56" s="19">
        <f>$E$43*E51</f>
        <v>800000</v>
      </c>
      <c r="F56" s="19">
        <f>$E$43*F51</f>
        <v>1000000</v>
      </c>
    </row>
    <row r="57" spans="1:6" ht="29.25" customHeight="1" x14ac:dyDescent="0.25">
      <c r="B57" s="32" t="s">
        <v>52</v>
      </c>
      <c r="C57" s="26"/>
      <c r="D57" s="26"/>
      <c r="E57" s="26"/>
      <c r="F57" s="26"/>
    </row>
    <row r="58" spans="1:6" ht="42" customHeight="1" x14ac:dyDescent="0.25">
      <c r="B58" s="32" t="s">
        <v>53</v>
      </c>
      <c r="C58" s="26"/>
      <c r="D58" s="26"/>
      <c r="E58" s="26"/>
      <c r="F58" s="26"/>
    </row>
    <row r="59" spans="1:6" ht="9.9499999999999993" customHeight="1" x14ac:dyDescent="0.25"/>
    <row r="60" spans="1:6" ht="6.95" customHeight="1" x14ac:dyDescent="0.25"/>
    <row r="61" spans="1:6" ht="24" customHeight="1" x14ac:dyDescent="0.25">
      <c r="A61" s="3"/>
      <c r="B61" s="27" t="s">
        <v>54</v>
      </c>
      <c r="C61" s="22"/>
      <c r="D61" s="22"/>
      <c r="E61" s="22"/>
      <c r="F61" s="22"/>
    </row>
    <row r="62" spans="1:6" ht="29.25" customHeight="1" x14ac:dyDescent="0.25">
      <c r="B62" s="28" t="s">
        <v>55</v>
      </c>
      <c r="C62" s="26"/>
      <c r="D62" s="26"/>
      <c r="E62" s="26"/>
      <c r="F62" s="26"/>
    </row>
    <row r="63" spans="1:6" ht="54.75" customHeight="1" x14ac:dyDescent="0.25">
      <c r="B63" s="28" t="s">
        <v>56</v>
      </c>
      <c r="C63" s="26"/>
      <c r="D63" s="26"/>
      <c r="E63" s="26"/>
      <c r="F63" s="26"/>
    </row>
    <row r="64" spans="1:6" ht="18" customHeight="1" x14ac:dyDescent="0.25">
      <c r="F64" s="16" t="s">
        <v>57</v>
      </c>
    </row>
    <row r="65" spans="1:6" ht="18" customHeight="1" x14ac:dyDescent="0.25">
      <c r="B65" s="29" t="s">
        <v>58</v>
      </c>
      <c r="C65" s="30"/>
      <c r="D65" s="30"/>
      <c r="E65" s="30"/>
      <c r="F65" s="8">
        <v>-100000</v>
      </c>
    </row>
    <row r="66" spans="1:6" ht="18" customHeight="1" x14ac:dyDescent="0.25">
      <c r="B66" s="29" t="s">
        <v>59</v>
      </c>
      <c r="C66" s="30"/>
      <c r="D66" s="30"/>
      <c r="E66" s="30"/>
      <c r="F66" s="8">
        <v>50000</v>
      </c>
    </row>
    <row r="67" spans="1:6" ht="18" customHeight="1" x14ac:dyDescent="0.25">
      <c r="B67" s="29" t="s">
        <v>60</v>
      </c>
      <c r="C67" s="30"/>
      <c r="D67" s="30"/>
      <c r="E67" s="30"/>
      <c r="F67" s="8">
        <v>0</v>
      </c>
    </row>
    <row r="68" spans="1:6" ht="18" customHeight="1" x14ac:dyDescent="0.25">
      <c r="B68" s="29" t="s">
        <v>61</v>
      </c>
      <c r="C68" s="30"/>
      <c r="D68" s="30"/>
      <c r="E68" s="30"/>
      <c r="F68" s="8">
        <v>0</v>
      </c>
    </row>
    <row r="69" spans="1:6" ht="18.95" customHeight="1" x14ac:dyDescent="0.25">
      <c r="B69" s="33" t="s">
        <v>62</v>
      </c>
      <c r="C69" s="34"/>
      <c r="D69" s="34"/>
      <c r="E69" s="34"/>
      <c r="F69" s="10">
        <f>SUM(F65:F68)</f>
        <v>-50000</v>
      </c>
    </row>
    <row r="70" spans="1:6" ht="8.1" customHeight="1" x14ac:dyDescent="0.25"/>
    <row r="71" spans="1:6" ht="18" customHeight="1" x14ac:dyDescent="0.25">
      <c r="D71" s="16" t="s">
        <v>46</v>
      </c>
      <c r="E71" s="16" t="s">
        <v>47</v>
      </c>
      <c r="F71" s="16" t="s">
        <v>48</v>
      </c>
    </row>
    <row r="72" spans="1:6" ht="32.1" customHeight="1" x14ac:dyDescent="0.25">
      <c r="A72" s="3"/>
      <c r="B72" s="24" t="s">
        <v>63</v>
      </c>
      <c r="C72" s="22"/>
      <c r="D72" s="19">
        <f>IF(D56="","",D56+$F$69)</f>
        <v>550000</v>
      </c>
      <c r="E72" s="19">
        <f>IF(E56="","",E56+$F$69)</f>
        <v>750000</v>
      </c>
      <c r="F72" s="19">
        <f>IF(F56="","",F56+$F$69)</f>
        <v>950000</v>
      </c>
    </row>
    <row r="73" spans="1:6" ht="29.25" customHeight="1" x14ac:dyDescent="0.25">
      <c r="B73" s="32" t="s">
        <v>64</v>
      </c>
      <c r="C73" s="26"/>
      <c r="D73" s="26"/>
      <c r="E73" s="26"/>
      <c r="F73" s="26"/>
    </row>
    <row r="74" spans="1:6" ht="9.9499999999999993" customHeight="1" x14ac:dyDescent="0.25"/>
    <row r="75" spans="1:6" ht="6.95" customHeight="1" x14ac:dyDescent="0.25"/>
    <row r="76" spans="1:6" ht="24" customHeight="1" x14ac:dyDescent="0.25">
      <c r="A76" s="3"/>
      <c r="B76" s="27" t="s">
        <v>65</v>
      </c>
      <c r="C76" s="22"/>
      <c r="D76" s="22"/>
      <c r="E76" s="22"/>
      <c r="F76" s="22"/>
    </row>
    <row r="77" spans="1:6" ht="45.95" customHeight="1" x14ac:dyDescent="0.25">
      <c r="B77" s="40" t="s">
        <v>66</v>
      </c>
      <c r="C77" s="41"/>
      <c r="D77" s="41"/>
      <c r="E77" s="41"/>
      <c r="F77" s="41"/>
    </row>
    <row r="78" spans="1:6" ht="6" customHeight="1" x14ac:dyDescent="0.25"/>
    <row r="79" spans="1:6" ht="42" customHeight="1" x14ac:dyDescent="0.25">
      <c r="B79" s="20" t="s">
        <v>67</v>
      </c>
      <c r="C79" s="35" t="s">
        <v>68</v>
      </c>
      <c r="D79" s="36"/>
      <c r="E79" s="36"/>
      <c r="F79" s="36"/>
    </row>
    <row r="80" spans="1:6" ht="42" customHeight="1" x14ac:dyDescent="0.25">
      <c r="B80" s="20" t="s">
        <v>69</v>
      </c>
      <c r="C80" s="35" t="s">
        <v>70</v>
      </c>
      <c r="D80" s="36"/>
      <c r="E80" s="36"/>
      <c r="F80" s="36"/>
    </row>
    <row r="81" spans="2:6" ht="42" customHeight="1" x14ac:dyDescent="0.25">
      <c r="B81" s="20" t="s">
        <v>71</v>
      </c>
      <c r="C81" s="35" t="s">
        <v>72</v>
      </c>
      <c r="D81" s="36"/>
      <c r="E81" s="36"/>
      <c r="F81" s="36"/>
    </row>
    <row r="82" spans="2:6" ht="42" customHeight="1" x14ac:dyDescent="0.25">
      <c r="B82" s="20" t="s">
        <v>73</v>
      </c>
      <c r="C82" s="35" t="s">
        <v>74</v>
      </c>
      <c r="D82" s="36"/>
      <c r="E82" s="36"/>
      <c r="F82" s="36"/>
    </row>
    <row r="83" spans="2:6" ht="42" customHeight="1" x14ac:dyDescent="0.25">
      <c r="B83" s="20" t="s">
        <v>75</v>
      </c>
      <c r="C83" s="35" t="s">
        <v>76</v>
      </c>
      <c r="D83" s="36"/>
      <c r="E83" s="36"/>
      <c r="F83" s="36"/>
    </row>
    <row r="84" spans="2:6" ht="42" customHeight="1" x14ac:dyDescent="0.25">
      <c r="B84" s="20" t="s">
        <v>77</v>
      </c>
      <c r="C84" s="35" t="s">
        <v>78</v>
      </c>
      <c r="D84" s="36"/>
      <c r="E84" s="36"/>
      <c r="F84" s="36"/>
    </row>
    <row r="85" spans="2:6" ht="6" customHeight="1" x14ac:dyDescent="0.25"/>
    <row r="86" spans="2:6" ht="29.25" customHeight="1" x14ac:dyDescent="0.25">
      <c r="B86" s="32" t="s">
        <v>79</v>
      </c>
      <c r="C86" s="26"/>
      <c r="D86" s="26"/>
      <c r="E86" s="26"/>
      <c r="F86" s="26"/>
    </row>
    <row r="87" spans="2:6" ht="9.9499999999999993" customHeight="1" x14ac:dyDescent="0.25"/>
    <row r="88" spans="2:6" ht="27.75" customHeight="1" x14ac:dyDescent="0.25">
      <c r="B88" s="42" t="s">
        <v>80</v>
      </c>
      <c r="C88" s="36"/>
      <c r="D88" s="36"/>
      <c r="E88" s="36"/>
      <c r="F88" s="36"/>
    </row>
  </sheetData>
  <mergeCells count="44">
    <mergeCell ref="B88:F88"/>
    <mergeCell ref="B73:F73"/>
    <mergeCell ref="C79:F79"/>
    <mergeCell ref="B38:F38"/>
    <mergeCell ref="B10:F10"/>
    <mergeCell ref="C84:F84"/>
    <mergeCell ref="B49:F49"/>
    <mergeCell ref="B67:E67"/>
    <mergeCell ref="C80:F80"/>
    <mergeCell ref="B24:F24"/>
    <mergeCell ref="B20:F20"/>
    <mergeCell ref="B69:E69"/>
    <mergeCell ref="B76:F76"/>
    <mergeCell ref="B63:F63"/>
    <mergeCell ref="B43:D43"/>
    <mergeCell ref="B41:F41"/>
    <mergeCell ref="B86:F86"/>
    <mergeCell ref="C83:F83"/>
    <mergeCell ref="B11:F11"/>
    <mergeCell ref="B61:F61"/>
    <mergeCell ref="B57:F57"/>
    <mergeCell ref="B66:E66"/>
    <mergeCell ref="B35:F35"/>
    <mergeCell ref="C82:F82"/>
    <mergeCell ref="B46:F46"/>
    <mergeCell ref="C81:F81"/>
    <mergeCell ref="B56:C56"/>
    <mergeCell ref="B58:F58"/>
    <mergeCell ref="B77:F77"/>
    <mergeCell ref="B48:F48"/>
    <mergeCell ref="B54:F54"/>
    <mergeCell ref="B62:F62"/>
    <mergeCell ref="B65:E65"/>
    <mergeCell ref="B72:C72"/>
    <mergeCell ref="B25:F25"/>
    <mergeCell ref="B68:E68"/>
    <mergeCell ref="B39:F39"/>
    <mergeCell ref="D2:F2"/>
    <mergeCell ref="B4:F4"/>
    <mergeCell ref="E43:F43"/>
    <mergeCell ref="B7:F7"/>
    <mergeCell ref="B47:F47"/>
    <mergeCell ref="B3:F3"/>
    <mergeCell ref="B21:F21"/>
  </mergeCells>
  <printOptions horizontalCentered="1"/>
  <pageMargins left="0.4" right="0.4" top="0.4" bottom="0.4" header="0.5" footer="0.5"/>
  <pageSetup paperSize="9" fitToHeight="0" orientation="landscape"/>
  <rowBreaks count="4" manualBreakCount="4">
    <brk id="23" max="16383" man="1"/>
    <brk id="45" max="16383" man="1"/>
    <brk id="60" max="16383" man="1"/>
    <brk id="75"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Bewertung</vt:lpstr>
      <vt:lpstr>Beispiel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DUB Bewertungs-Template</dc:title>
  <dc:creator>Deutsche Unternehmerbörse DUB.de GmbH</dc:creator>
  <dc:description>Käufer-Academy, Modul 3: Bewertung und Preisfindung</dc:description>
  <cp:lastModifiedBy>Graig Gröbli</cp:lastModifiedBy>
  <dcterms:created xsi:type="dcterms:W3CDTF">2026-09-18T08:17:12Z</dcterms:created>
  <dcterms:modified xsi:type="dcterms:W3CDTF">2026-09-18T08:17:20Z</dcterms:modified>
</cp:coreProperties>
</file>