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2"/>
  <workbookPr defaultThemeVersion="166925"/>
  <mc:AlternateContent xmlns:mc="http://schemas.openxmlformats.org/markup-compatibility/2006">
    <mc:Choice Requires="x15">
      <x15ac:absPath xmlns:x15ac="http://schemas.microsoft.com/office/spreadsheetml/2010/11/ac" url="https://dealcircle-my.sharepoint.com/personal/admin_dealcircle_de/Documents/03. Marketing/02. Content/02. Best Practice Guides/Guide 6 - Due Diligence Checkliste/Final/"/>
    </mc:Choice>
  </mc:AlternateContent>
  <xr:revisionPtr revIDLastSave="2726" documentId="8_{FD76738D-1C3D-45FE-AA90-A1ECBDA981B3}" xr6:coauthVersionLast="47" xr6:coauthVersionMax="47" xr10:uidLastSave="{E4CDE3A3-B3D3-4173-9A7B-0AD1B26C4B20}"/>
  <bookViews>
    <workbookView minimized="1" xWindow="2790" yWindow="2790" windowWidth="21600" windowHeight="11205" firstSheet="2" activeTab="2" xr2:uid="{A91E0C9F-5E89-4B58-A6B9-9EAD5B8ECDF3}"/>
  </bookViews>
  <sheets>
    <sheet name="Header" sheetId="23" r:id="rId1"/>
    <sheet name="Geschäftsübersicht" sheetId="24" r:id="rId2"/>
    <sheet name="Markt und Kunden" sheetId="25" r:id="rId3"/>
    <sheet name="Historische Zahlen" sheetId="26" r:id="rId4"/>
    <sheet name="Bilanz" sheetId="27" r:id="rId5"/>
    <sheet name="Cash Flows" sheetId="28" r:id="rId6"/>
    <sheet name="Business Plan" sheetId="29" r:id="rId7"/>
    <sheet name="Tax" sheetId="30" r:id="rId8"/>
    <sheet name="Legal" sheetId="36" r:id="rId9"/>
    <sheet name="ESG" sheetId="35" r:id="rId10"/>
    <sheet name="Tech_IT" sheetId="38" r:id="rId11"/>
  </sheets>
  <externalReferences>
    <externalReference r:id="rId12"/>
    <externalReference r:id="rId13"/>
  </externalReferences>
  <definedNames>
    <definedName name="Categories" localSheetId="9">[1]Header!$A$36:$A$39</definedName>
    <definedName name="Categories" localSheetId="8">[1]Header!$A$36:$A$39</definedName>
    <definedName name="Categories" localSheetId="7">[1]Header!$A$36:$A$39</definedName>
    <definedName name="Categories" localSheetId="10">[1]Header!$A$36:$A$39</definedName>
    <definedName name="Categories">Header!$A$36:$A$39</definedName>
    <definedName name="_xlnm.Print_Area" localSheetId="4">Bilanz!$B$1:$I$25</definedName>
    <definedName name="_xlnm.Print_Area" localSheetId="6">'Business Plan'!$B$1:$I$18</definedName>
    <definedName name="_xlnm.Print_Area" localSheetId="5">'Cash Flows'!$B$1:$I$11</definedName>
    <definedName name="_xlnm.Print_Area" localSheetId="9">ESG!$B$1:$I$27</definedName>
    <definedName name="_xlnm.Print_Area" localSheetId="1">Geschäftsübersicht!$B$1:$I$26</definedName>
    <definedName name="_xlnm.Print_Area" localSheetId="0">Header!$A$1:$B$26</definedName>
    <definedName name="_xlnm.Print_Area" localSheetId="3">'Historische Zahlen'!$B$1:$I$28</definedName>
    <definedName name="_xlnm.Print_Area" localSheetId="8">Legal!$B$1:$I$24</definedName>
    <definedName name="_xlnm.Print_Area" localSheetId="2">'Markt und Kunden'!$B$1:$I$22</definedName>
    <definedName name="_xlnm.Print_Area" localSheetId="7">Tax!$B$1:$I$60</definedName>
    <definedName name="_xlnm.Print_Area" localSheetId="10">Tech_IT!$B$1:$F$15</definedName>
    <definedName name="_xlnm.Print_Titles" localSheetId="4">Bilanz!$1:$7</definedName>
    <definedName name="_xlnm.Print_Titles" localSheetId="9">ESG!$1:$7</definedName>
    <definedName name="_xlnm.Print_Titles" localSheetId="1">Geschäftsübersicht!$1:$7</definedName>
    <definedName name="_xlnm.Print_Titles" localSheetId="3">'Historische Zahlen'!$1:$7</definedName>
    <definedName name="_xlnm.Print_Titles" localSheetId="8">Legal!$1:$7</definedName>
    <definedName name="_xlnm.Print_Titles" localSheetId="2">'Markt und Kunden'!$1:$7</definedName>
    <definedName name="_xlnm.Print_Titles" localSheetId="7">Tax!$1:$7</definedName>
    <definedName name="_xlnm.Print_Titles" localSheetId="10">Tech_IT!$1:$7</definedName>
    <definedName name="LIST">Header!$A$36:$A$38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28" l="1"/>
  <c r="I1" i="30"/>
  <c r="B39" i="30"/>
  <c r="B38" i="30"/>
  <c r="B37" i="30"/>
  <c r="B36" i="30"/>
  <c r="B35" i="30"/>
  <c r="B34" i="30"/>
  <c r="B33" i="30"/>
  <c r="B27" i="35"/>
  <c r="B26" i="35"/>
  <c r="B25" i="35"/>
  <c r="B24" i="35"/>
  <c r="B22" i="35"/>
  <c r="B21" i="35"/>
  <c r="B20" i="35"/>
  <c r="B19" i="35"/>
  <c r="B18" i="35"/>
  <c r="F1" i="38"/>
  <c r="I1" i="35"/>
  <c r="I1" i="36"/>
  <c r="B24" i="36"/>
  <c r="B23" i="36"/>
  <c r="B22" i="36"/>
  <c r="B20" i="36"/>
  <c r="B19" i="36"/>
  <c r="B18" i="36"/>
  <c r="B17" i="36"/>
  <c r="B16" i="36"/>
  <c r="B15" i="36"/>
  <c r="I1" i="25"/>
  <c r="I1" i="24"/>
  <c r="B10" i="38"/>
  <c r="B11" i="38"/>
  <c r="B12" i="38"/>
  <c r="B13" i="38"/>
  <c r="B14" i="38"/>
  <c r="B15" i="38"/>
  <c r="B9" i="38"/>
  <c r="B10" i="36"/>
  <c r="B11" i="36"/>
  <c r="B12" i="36"/>
  <c r="B13" i="36"/>
  <c r="B9" i="36"/>
  <c r="D2" i="38"/>
  <c r="D1" i="38"/>
  <c r="D2" i="36"/>
  <c r="D1" i="36"/>
  <c r="D1" i="35"/>
  <c r="D2" i="35"/>
  <c r="B10" i="35"/>
  <c r="B11" i="35"/>
  <c r="B12" i="35"/>
  <c r="B13" i="35"/>
  <c r="B14" i="35"/>
  <c r="B15" i="35"/>
  <c r="B16" i="35"/>
  <c r="B9" i="35"/>
  <c r="D2" i="25" l="1"/>
  <c r="D1" i="25"/>
  <c r="D1" i="24"/>
  <c r="D2" i="30"/>
  <c r="D1" i="30"/>
  <c r="D2" i="29"/>
  <c r="D1" i="29"/>
  <c r="D2" i="28"/>
  <c r="D1" i="28"/>
  <c r="D2" i="27"/>
  <c r="D1" i="27"/>
  <c r="D1" i="26"/>
  <c r="D2" i="26"/>
  <c r="D2" i="24" l="1"/>
  <c r="B58" i="30"/>
  <c r="B57" i="30"/>
  <c r="B56" i="30"/>
  <c r="B55" i="30"/>
  <c r="B54" i="30"/>
  <c r="B53" i="30"/>
  <c r="B52" i="30"/>
  <c r="B51" i="30"/>
  <c r="B49" i="30"/>
  <c r="B48" i="30"/>
  <c r="B46" i="30"/>
  <c r="B45" i="30"/>
  <c r="B43" i="30"/>
  <c r="B42" i="30"/>
  <c r="B41" i="30"/>
  <c r="B32" i="30"/>
  <c r="B30" i="30"/>
  <c r="B29" i="30"/>
  <c r="B28" i="30"/>
  <c r="B26" i="30"/>
  <c r="B24" i="30"/>
  <c r="B23" i="30"/>
  <c r="B22" i="30"/>
  <c r="B21" i="30"/>
  <c r="B20" i="30"/>
  <c r="B19" i="30"/>
  <c r="B18" i="30"/>
  <c r="B17" i="30"/>
  <c r="B16" i="30"/>
  <c r="B14" i="30"/>
  <c r="B13" i="30"/>
  <c r="B12" i="30"/>
  <c r="B11" i="30"/>
  <c r="B10" i="30"/>
  <c r="B9" i="30"/>
  <c r="B18" i="29"/>
  <c r="B17" i="29"/>
  <c r="B16" i="29"/>
  <c r="B15" i="29"/>
  <c r="B14" i="29"/>
  <c r="B13" i="29"/>
  <c r="B12" i="29"/>
  <c r="B11" i="29"/>
  <c r="B10" i="29"/>
  <c r="B9" i="29"/>
  <c r="B8" i="29"/>
  <c r="I1" i="29"/>
  <c r="H1" i="29"/>
  <c r="B11" i="28"/>
  <c r="B10" i="28"/>
  <c r="B9" i="28"/>
  <c r="B8" i="28"/>
  <c r="B23" i="27"/>
  <c r="B22" i="27"/>
  <c r="B21" i="27"/>
  <c r="B20" i="27"/>
  <c r="B19" i="27"/>
  <c r="B18" i="27"/>
  <c r="B17" i="27"/>
  <c r="B16" i="27"/>
  <c r="B15" i="27"/>
  <c r="B14" i="27"/>
  <c r="B13" i="27"/>
  <c r="B12" i="27"/>
  <c r="B11" i="27"/>
  <c r="B10" i="27"/>
  <c r="B9" i="27"/>
  <c r="B8" i="27"/>
  <c r="I1" i="27"/>
  <c r="H1" i="27"/>
  <c r="B26" i="26"/>
  <c r="B25" i="26"/>
  <c r="B24" i="26"/>
  <c r="B23" i="26"/>
  <c r="B22" i="26"/>
  <c r="B21" i="26"/>
  <c r="B20" i="26"/>
  <c r="B19" i="26"/>
  <c r="B18" i="26"/>
  <c r="B17" i="26"/>
  <c r="B16" i="26"/>
  <c r="B15" i="26"/>
  <c r="B14" i="26"/>
  <c r="B13" i="26"/>
  <c r="B12" i="26"/>
  <c r="B11" i="26"/>
  <c r="B10" i="26"/>
  <c r="B9" i="26"/>
  <c r="B8" i="26"/>
  <c r="I1" i="26"/>
  <c r="H1" i="26"/>
  <c r="B22" i="25"/>
  <c r="B21" i="25"/>
  <c r="B20" i="25"/>
  <c r="B19" i="25"/>
  <c r="B18" i="25"/>
  <c r="B17" i="25"/>
  <c r="B16" i="25"/>
  <c r="B15" i="25"/>
  <c r="B14" i="25"/>
  <c r="B13" i="25"/>
  <c r="B12" i="25"/>
  <c r="B11" i="25"/>
  <c r="B10" i="25"/>
  <c r="B9" i="25"/>
  <c r="B8" i="25"/>
  <c r="B26" i="24"/>
  <c r="B25" i="24"/>
  <c r="B24" i="24"/>
  <c r="B23" i="24"/>
  <c r="B22" i="24"/>
  <c r="B21" i="24"/>
  <c r="B20" i="24"/>
  <c r="B19" i="24"/>
  <c r="B18" i="24"/>
  <c r="B17" i="24"/>
  <c r="B16" i="24"/>
  <c r="B15" i="24"/>
  <c r="B14" i="24"/>
  <c r="B13" i="24"/>
  <c r="B12" i="24"/>
  <c r="B11" i="24"/>
  <c r="B10" i="24"/>
  <c r="B9" i="24"/>
  <c r="B8"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Jarno Schaefermann</author>
  </authors>
  <commentList>
    <comment ref="H19" authorId="0" shapeId="0" xr:uid="{FBE9ACBC-B1A6-4733-918B-F4DF59F78DD0}">
      <text>
        <r>
          <rPr>
            <sz val="8"/>
            <color indexed="81"/>
            <rFont val="Tahoma"/>
          </rPr>
          <t xml:space="preserve">In welcher Form/Format werden die Informationen benötigt?
</t>
        </r>
      </text>
    </comment>
  </commentList>
</comments>
</file>

<file path=xl/sharedStrings.xml><?xml version="1.0" encoding="utf-8"?>
<sst xmlns="http://schemas.openxmlformats.org/spreadsheetml/2006/main" count="811" uniqueCount="227">
  <si>
    <t>Checkliste</t>
  </si>
  <si>
    <t>Projekt:</t>
  </si>
  <si>
    <t>PEGASUS</t>
  </si>
  <si>
    <t>Zielgesellschaft</t>
  </si>
  <si>
    <t>Zielgesellschafts GmbH</t>
  </si>
  <si>
    <t>Reporting Periode</t>
  </si>
  <si>
    <t>Historische Informationen</t>
  </si>
  <si>
    <t>GJ19 - GJ20 (Actual/Audited) aktuelles GJ21</t>
  </si>
  <si>
    <t>Business Plan</t>
  </si>
  <si>
    <t>GJ21- GJ25 (Plan/Budget)</t>
  </si>
  <si>
    <t>Updated:</t>
  </si>
  <si>
    <t>Offen</t>
  </si>
  <si>
    <t>Teilweise offen</t>
  </si>
  <si>
    <t>Erhalten</t>
  </si>
  <si>
    <t>k.A.</t>
  </si>
  <si>
    <t>Update</t>
  </si>
  <si>
    <t>Projekt</t>
  </si>
  <si>
    <t>Sektor</t>
  </si>
  <si>
    <t>Business Überblick</t>
  </si>
  <si>
    <t>Linie</t>
  </si>
  <si>
    <t>Priorität</t>
  </si>
  <si>
    <t>Info / Dokument</t>
  </si>
  <si>
    <t>Gruppen</t>
  </si>
  <si>
    <t>Einheits</t>
  </si>
  <si>
    <t>Verantwortlich</t>
  </si>
  <si>
    <t>Kommentar</t>
  </si>
  <si>
    <t>Status</t>
  </si>
  <si>
    <t>Einheit 1</t>
  </si>
  <si>
    <t>Einheit 2</t>
  </si>
  <si>
    <t>Ebene</t>
  </si>
  <si>
    <t>Allgemeine Informationen über angebotene Produkte, bediente Kunden und Kundensegmente und relevante Märkte; inkl. anderer für die Unternehmensstrategie relevanter Präsentationen</t>
  </si>
  <si>
    <t>offen</t>
  </si>
  <si>
    <t>Statutarische Jahresabschlüsse seit 2019</t>
  </si>
  <si>
    <t>Derzeitige rechtliche Konzernstruktur mit Angabe der rechtlichen Einheiten</t>
  </si>
  <si>
    <t>Aktuelle Managementstruktur mit Aufteilung der Zuständigkeiten, Namen der wichtigsten Führungskräfte und Anzahl der Mitarbeiter pro Abteilung</t>
  </si>
  <si>
    <t>Kurze Zusammenfassung der Historie mit Hervorhebung wichtiger Ereignisse, einschließlich größerer Umstrukturierungen, Übernahmen und Veräußerungen, Käufe oder Verkäufe von Wettbewerbern/Geschäftsbereichen einschließlich der finanziellen Auswirkungen</t>
  </si>
  <si>
    <t>Liste der wichtigsten Leistungsindikatoren (KPI) und kritischen Erfolgsfaktoren, die von der Geschäftsleitung ermittelt und verwendet werden</t>
  </si>
  <si>
    <t>Monatliche Verwaltungskonten seit Jan. 2019</t>
  </si>
  <si>
    <t>Weitere seit 2019 veröffentlichte Lageberichte</t>
  </si>
  <si>
    <t>Dokumentation des Risikomanagements (Verfahren und ermittelte Risiken)</t>
  </si>
  <si>
    <t>Protokolle von Vorstandssitzungen (Protokolle von Beiratssitzungen, Protokolle von Vorstandssitzungen)</t>
  </si>
  <si>
    <t>Handbuch zur Rechnungslegung der Gruppe, Beschreibung der wichtigsten Rechnungslegungskontrollen und des Kontrollumfelds der Gruppe, Änderungen der Rechnungslegungsmethoden</t>
  </si>
  <si>
    <t>Kopie der Treasury-Politik und Beschreibung der Organisation und der Verfahren der Finanzabteilung, einschließlich der Kontrolle und Überwachung des Wechselkursrisikos und des Devisenmanagements (Hedging-Politik)</t>
  </si>
  <si>
    <t>Darstellung des gesamten konzerninternen Handels und der Kosten seit dem GJ19</t>
  </si>
  <si>
    <t>Analyse der wichtigsten Kunden jedes Segments nach Umsatz (Preis und Volumen) (Top 10 Kunden); Erläuterung der Beziehungen zu den wichtigsten Kunden der Gruppe</t>
  </si>
  <si>
    <t>Liste der gewonnenen und verlorenen Großkunden und die Gründe dafür</t>
  </si>
  <si>
    <t>Diskussion der Produktionskapazitäten, des Auslastungsgrads und ihrer Fähigkeit, als Plattform für eine weitere Wachstumsstrategie genutzt zu werden</t>
  </si>
  <si>
    <t xml:space="preserve">Liste der zehn wichtigsten Lieferanten mit Angabe der erworbenen Waren/Dienstleistungen und der Einkaufsbedingungen (z. B. Zahlungsbedingungen, Rabatte) </t>
  </si>
  <si>
    <t>Preisentwicklung der wichtigsten Beschaffungsgüter</t>
  </si>
  <si>
    <t>Liste der seit der Ausgliederung erhaltenen öffentlichen Zuschüsse, damit verbundene Bedingungen und buchhalterische Behandlung</t>
  </si>
  <si>
    <t>Sektion:</t>
  </si>
  <si>
    <t>Markt, Kunden, Wettbewerbsumfeld</t>
  </si>
  <si>
    <t>Unternehmensschätzungen zur relevanten Marktgröße und zum (historischen, zukünftigen) Wachstum nach: Produkten/Segmenten, Kunden, regionalen Märkten</t>
  </si>
  <si>
    <t>Einschätzung des Managements zu den wichtigsten aktuellen und zukünftigen Marktfaktoren und Entwicklungen</t>
  </si>
  <si>
    <t>Informationen über historische und zukünftige Marktpreisentwicklungen für Produkte/Segmente</t>
  </si>
  <si>
    <t>Alle relevanten Marktberichte über Größe, Wachstum oder Trends für die betreffenden Produkte/Segmente</t>
  </si>
  <si>
    <t>Sicht des Managements auf den Kaufprozess der Kunden und die wichtigsten Entscheidungsträger</t>
  </si>
  <si>
    <t>Management-Sicht auf das Preismodell innerhalb der Kundengruppen (bestehende und geplante) inkl. Contracting</t>
  </si>
  <si>
    <t xml:space="preserve">Ansicht des Managements zu den wichtigsten Kauf-/Auswahlkriterien </t>
  </si>
  <si>
    <t>Diskussion über Kundentreue und Kundenwechselverhalten</t>
  </si>
  <si>
    <t>Informationen zur historischen Kundenbindung</t>
  </si>
  <si>
    <t>Bewertung der strategischen Differenzierung des Zielunternehmens sowie seiner Stärken und Schwächen aus Sicht der Kunden</t>
  </si>
  <si>
    <t>Alle relevanten Informationen oder Marktforschungen zur Kundenbindung oder zu Trends</t>
  </si>
  <si>
    <t>Diskussion über Preisanpassungsklauseln (falls relevant)</t>
  </si>
  <si>
    <t>Einschätzung des Managements zu den wichtigsten Wettbewerbern und zu potenziellen Übernahmezielen</t>
  </si>
  <si>
    <t>Ansicht des Managements zu Unterschieden in den Kostenstrukturen der Wettbewerber, einschließlich Stärken und Schwächen</t>
  </si>
  <si>
    <t>Alle relevanten Informationen oder Analysen über Konkurrenten oder die Wettbewerbsposition (einschließlich Marktanteile)</t>
  </si>
  <si>
    <t>Projekt: Circle</t>
  </si>
  <si>
    <t>Historische Handelsresultate</t>
  </si>
  <si>
    <t>Darstellung der jährlichen Entwicklung des historischen EBIT nach Wechselkurs-, Preis-, Mengen-, Umsatzmix-, Materialkosten- und Gemeinkostenentwicklung (Brückendaten)</t>
  </si>
  <si>
    <t>Dokumentation der Jahresendkonsolidierung</t>
  </si>
  <si>
    <t>Umsatz nach Produkten/Segmenten, Kunden, regionalen Märkten (monatlich und jährlich)</t>
  </si>
  <si>
    <t>Preise und Mengen nach Produkten/Segmenten, Kunden, regionalen Märkten (monatlich und jährlich)</t>
  </si>
  <si>
    <t>Rentabilität / Bruttomarge / EBITDA nach Produkten/Segmenten, Kunden, regionalen Märkten (monatlich und jährlich)</t>
  </si>
  <si>
    <t>Informationen über die wichtigsten Faktoren für Umsatz und Rentabilität nach Produkten/Segmenten, Kunden und regionalen Märkten (monatlich und jährlich)</t>
  </si>
  <si>
    <t>Informationen über die wichtigsten Änderungen im Produktmix und geplante Änderungen innerhalb des Planungszeitraums</t>
  </si>
  <si>
    <t>Analyse der fixen und variablen Kosten (für alle großen Einheiten)</t>
  </si>
  <si>
    <t>Aufschlüsselung der VVG-Kosten (Vertrieb und Marketing, F&amp;E, allgemeine Verwaltung und sonstige Einnahmen und Ausgaben)</t>
  </si>
  <si>
    <t>Zusammenfassung der wesentlichen konzerninternen Kostenzuweisungen und Beschreibung der Zuweisungsmethodik</t>
  </si>
  <si>
    <t>Einzelheiten (Beschreibung und Betrag) aller außergewöhnlichen oder einmaligen oder nichtoperativen Posten (einschließlich Änderungen der Rechnungslegungsgrundsätze, Auflösung von Rückstellungen usw.)</t>
  </si>
  <si>
    <t>Detaillierte Informationen über alle anderen Aspekte, die die Vergleichbarkeit der Ergebnisse beeinträchtigen</t>
  </si>
  <si>
    <t>Aufteilung des Personalbestands nach Standort/Werk und nach Abteilung/Funktion sowie nach indirekten und direkten Mitarbeitern</t>
  </si>
  <si>
    <t>Arbeitskostenanalyse: Analyse aller arbeitsbezogenen Kosten; Analysen nach Art des Mitarbeiters / nach Abteilung / nach Standort, durchschnittliche Kosten pro Mitarbeiter</t>
  </si>
  <si>
    <t xml:space="preserve">Liste der wichtigsten historischen und aktuellen FuE-Projekte, einschließlich der damit verbundenen Kosten </t>
  </si>
  <si>
    <t>F&amp;E-Kosten, aufgeteilt nach Hauptkategorien (Personal, externe/interne Dienstleistungen usw.)</t>
  </si>
  <si>
    <t xml:space="preserve">Gesamteinkaufsvolumen (pro Produktkategorie), aufgeschlüsselt nach Hauptkostenkategorien (z. B. Stahl, Motoren, Legierungen, Kunststoffe, Zubehör usw.)  </t>
  </si>
  <si>
    <t>Analyse der Einnahmen und Kosten in Fremdwährungen</t>
  </si>
  <si>
    <t>Vergleich der ursprünglichen historischen GuV-Budgets mit den tatsächlichen Ergebnissen und Erläuterung wesentlicher Abweichungen (einschließlich Investitionsbudgets)</t>
  </si>
  <si>
    <t>Sektion</t>
  </si>
  <si>
    <t>Historische Jahresabschlüsse</t>
  </si>
  <si>
    <t>Line</t>
  </si>
  <si>
    <t>Liste von Vermögenswerten, deren Marktwert erheblich vom Buchwert abweicht, mit Angabe eines angemessenen Marktwerts (insbesondere Grundstücke und Gebäude)</t>
  </si>
  <si>
    <t>Liste von Vermögenswerten, die in keinem Zusammenhang mit dem Unternehmen stehen oder für das Unternehmen nicht erforderlich sind</t>
  </si>
  <si>
    <t>Für die wichtigsten Kategorien von Sachanlagen sind das durchschnittliche Alter der Anlagen, die Nutzungsdauer, die Abschreibungssätze und -grundsätze sowie Einzelheiten zu etwaigen Wertminderungen/Abschreibungen anzugeben.</t>
  </si>
  <si>
    <t>Anlagenspiegel, der die jährliche Entwicklung der Kosten und der Abschreibung von Anlagegütern zeigt</t>
  </si>
  <si>
    <t>Finanzierungs- und Operating-Leasingverhältnisse (Leasing in); detaillierte Angaben zu allen wesentlichen Leasingverhältnissen, einschließlich Beschreibung, Bedingungen, Kaufoptionen, jährliche Zahlungen, Zinsanteil</t>
  </si>
  <si>
    <t>Analyse der Wertminderung von Goodwill und anderen immateriellen Vermögenswerten</t>
  </si>
  <si>
    <t>Einzelheiten der Vorratsreserven nach Kategorie; Berechnungsmethode</t>
  </si>
  <si>
    <t>Berechnung/Aufschlüsselung und Entwicklung allgemeiner und spezifischer Wertberichtigungen für zweifelhafte Forderungen, Forderungsausfallhistorie und Analyse von Rücksendungen</t>
  </si>
  <si>
    <t>Fälligkeitsanalyse der Forderungen für die geprüften Jahresenddaten; Erläuterung etwaiger signifikanter Bewegungen in den Fälligkeitskategorien; größere überfällige Forderungen im GJ20</t>
  </si>
  <si>
    <t>Detaillierte Aufgliederung der sonstigen Aktiva und Passiva, einschließlich der laufenden Steuerforderungen und -verbindlichkeiten, insbesondere die Trennung von Handels- und Finanzposten</t>
  </si>
  <si>
    <t>Berechnung der Pensionsrückstellungen</t>
  </si>
  <si>
    <t xml:space="preserve">Auflistung aller wesentlichen Forderungen und Gegenforderungen, einschließlich Einzelheiten zur Behandlung in der Rechnungslegung </t>
  </si>
  <si>
    <t>Berechnung der Umstrukturierungsrückstellungen und Angaben zur Verwendung (tatsächlich entstandene Kosten)</t>
  </si>
  <si>
    <t>Vorverlagerung von Rückstellungen ("Rückstellungsspiegel")</t>
  </si>
  <si>
    <t>Einzelheiten zu den Kreditfazilitäten und anderen Finanzierungsvereinbarungen der Gruppe, Schuldverpflichtungen, Zinsaufwendungen nach Gläubigern</t>
  </si>
  <si>
    <t>Angaben zu Eventualverbindlichkeiten, Kaufverpflichtungen und sonstigen außerbilanziellen Verpflichtungen</t>
  </si>
  <si>
    <t>Section:</t>
  </si>
  <si>
    <t>Historische Cashflows</t>
  </si>
  <si>
    <t>Jährliche Cashflow-Berechnung / Cashflow-Rechnung</t>
  </si>
  <si>
    <t>Bereitstellung von untermonatlichen Bargeldbewegungen (Analyse des Spitzenbedarfs an Bargeld)</t>
  </si>
  <si>
    <t>Einzelheiten zu den Auswirkungen aller wesentlichen einmaligen / nichtoperativen Posten auf die Liquidität</t>
  </si>
  <si>
    <t>Investitionen nach Rechtsperson und Kategorie (Ersatz, Wachstum, Kostensenkung, Sicherheit/Umweltschutz, F&amp;E), einschließlich Erläuterung der wichtigsten Posten/Projekte</t>
  </si>
  <si>
    <t>Vorhersage und Budget</t>
  </si>
  <si>
    <t>Darstellung der aktuellen Geschäfts- und Betriebsstrategie der Gruppe</t>
  </si>
  <si>
    <t xml:space="preserve"> </t>
  </si>
  <si>
    <t>Detaillierte Beschreibung des Planungsprozesses der Gruppe</t>
  </si>
  <si>
    <t>Detaillierte Beschreibung der Planungsannahmen (inkl. Preis-, Mengen- und Hauptkostenpositionen)</t>
  </si>
  <si>
    <t>Ansicht des Managements zu alternativen Annahmen oder Szenarioberechnungen</t>
  </si>
  <si>
    <t>Einzelheiten zum Geschäftsplan (Gewinn und Verlust, Cashflow und Bilanzen), einschließlich Planungspakete, vergleichbar mit historischen Informationen</t>
  </si>
  <si>
    <t>Kommentieren Sie die wichtigsten Trends in den Projektionen und erläutern Sie die Pläne zur Finanzierung des geplanten Wachstums.</t>
  </si>
  <si>
    <t>Detaillierter Absatzplan (Menge, Preis und Wert) nach Produkt/Segment, Kunde, regionalen Märkten</t>
  </si>
  <si>
    <t>Analyse der geplanten Bruttomarge nach Rechtseinheit / Produktkategorie und auf Konzernebene</t>
  </si>
  <si>
    <t>Detaillierte Analyse des geplanten Personalbestands (FTE) und der Kosten pro Kopf für direkte und indirekte Mitarbeiter</t>
  </si>
  <si>
    <t>Dokumentation des geplanten konzerninternen Handels und Konsolidierung der prognostizierten Finanzinformationen</t>
  </si>
  <si>
    <t>Beschreibung wichtiger geplanter Produkteinführungen und geplanter Investitionsprojekte, einschließlich aktivierter Kosten, zugehöriger Ausgaben und Kategorie (Ersatz, Wachstum, Kostensenkung, F&amp;E)</t>
  </si>
  <si>
    <t>Tax (Steuern)</t>
  </si>
  <si>
    <t>Allgemeiner Hintergrund</t>
  </si>
  <si>
    <t>Geprüfte Jahresabschlüsse für die Geschäftsjahre 2019 und 20.</t>
  </si>
  <si>
    <t xml:space="preserve">Geprüfte Jahresabschlüsse für die Geschäftsjahre  2018 und 19. </t>
  </si>
  <si>
    <t>Geprüfte Jahresabschlüsse für die Geschäftsjahre 2018 und 2019.</t>
  </si>
  <si>
    <t>Angaben zu wesentlichen Umstrukturierungen der Gruppe (z. B. Fusion, Umwandlung, Einbringung, Abspaltung, Änderung der Beherrschungsverhältnisse usw.), Akquisitionen oder Veräußerungen in den letzten drei Jahren, einschließlich etwaiger gruppeninterner Vermögensübertragungen in den letzten drei Jahren.</t>
  </si>
  <si>
    <t>Angaben darüber, wer bei der Zielgesellschaft für die Einhaltung der Steuervorschriften und die Steuerplanung zuständig ist, sowie Angaben zu den in Anspruch genommenen externen Beratern.</t>
  </si>
  <si>
    <t>Eine Zusammenfassung aller internen und externen Anleihen jedes Unternehmens, einschließlich der wichtigsten Bedingungen der Anleihen.</t>
  </si>
  <si>
    <t>Steuerprüfung / Steuerstatus</t>
  </si>
  <si>
    <t>Kopien der Steuerberechnungen, Steuererklärungen (einschließlich aller Anlagen zu den Erklärungen) und Steuerbescheide für die Jahre 2018, 2019 und 20, einschließlich aller geänderten Erklärungen und Bescheide.</t>
  </si>
  <si>
    <t>Alle wichtigen Mitteilungen an die Finanzbehörden in Bezug auf die Steuererklärungen der Zielunternehmen (z. B. verbindliche Bescheide usw.), einschließlich Einzelheiten zu anhängigen Rechtsbehelfen und Gerichtsverfahren.</t>
  </si>
  <si>
    <t>Beantragte/gewährte Fristverlängerungen für die Abgabe von Steuererklärungen.</t>
  </si>
  <si>
    <t>Kopien der an die Mitglieder der Zielgruppe gerichteten Steuervorauszahlungsbescheide.</t>
  </si>
  <si>
    <t>Bestätigung, dass die Steuerzahlungen pünktlich und ordnungsgemäß verbucht worden sind.</t>
  </si>
  <si>
    <t>Kopien von Quellensteuererklärungen und Bescheiden über zugerechnete Zinsen, Dividenden usw. seit der letzten Steuerprüfung.</t>
  </si>
  <si>
    <t>Bestätigung, dass die Quellensteuer (WHT) auf relevante Zahlungen (einschließlich Zinsen) korrekt verbucht wurde oder dass die Finanzbehörden entsprechende Befreiungen von der WHT gewährt haben (einschließlich Kopien der WHT-Befreiungsbescheinigung).</t>
  </si>
  <si>
    <t>Kopien der letzten Steuerprüfungsberichte und Ankündigung von Steuerprüfungen sowie Einzelheiten zu laufenden Steuerprüfungen (Liste der aktuellen Feststellungen).</t>
  </si>
  <si>
    <t>Einzelheiten zu etwaigen Berichtigungen späterer Steuererklärungen, die sich aus den Berichtigungen früherer Steuerprüfungen ergeben.</t>
  </si>
  <si>
    <t>Steuerliche Attribute</t>
  </si>
  <si>
    <t>Angaben zu den steuerlichen Verlustvorträgen der Zielgesellschaft zum Ende des GJ20</t>
  </si>
  <si>
    <t>Jahresabschlüsse</t>
  </si>
  <si>
    <t>Übersicht/Split/Berechnung der Steuerforderungen, Steuerverbindlichkeiten und Steuerrückstellungen im Jahresabschluss der Zielgesellschaft für das Geschäftsjahr 2020.</t>
  </si>
  <si>
    <t>Eine Analyse der in den Jahresabschlüssen der Zielgesellschaft für die Geschäftsjahre 2019 und 2020 ausgewiesenen Steuerbelastung in der Gewinn- und Verlustrechnung, einschließlich einer Überleitung des effektiven Steuersatzes in der Bilanz zum gesetzlichen Steuersatz.</t>
  </si>
  <si>
    <t>Arbeitspapiere, die die Berechnung der aktiven und passiven latenten Steuern in den Bilanzen der GJ19 und GJ20 der Zielgesellschaft zeigen.</t>
  </si>
  <si>
    <t>Verrechnungspreise</t>
  </si>
  <si>
    <t>Einzelheiten über die Art der konzerninternen Transaktionen (z. B. konzerninterne Darlehen, konzerninterne Dienstleistungen, konzerninterne Warenverkäufe) und konzerninterne Kostenbelastungen, einschließlich Einzelheiten zu:</t>
  </si>
  <si>
    <t>a. wie der Verrechnungspreis berechnet wird (Bitte legen Sie die unterzeichneten Verträge vor)</t>
  </si>
  <si>
    <t>b. ungefährer jährlicher Wert der gruppeninternen Transaktionen</t>
  </si>
  <si>
    <t>Angaben zu jeglichem vom Unternehmen genutzten geistigen Eigentum (IP), zu den Eigentumsverhältnissen des IP und zu allen Zahlungen, die das Unternehmen für die Nutzung des IP geleistet hat.</t>
  </si>
  <si>
    <t>Bestätigung, dass die Dokumentationsanforderungen in Bezug auf die Verrechnungspreise erfüllt wurden.</t>
  </si>
  <si>
    <t>Angaben zu etwaigen Darlehen von verbundenen Parteien oder Darlehen, für die eine elterliche Bürgschaft besteht, sowie Angaben zu etwaigen Verhandlungen mit den deutschen Steuerbehörden darüber, ob das Unternehmen unterkapitalisiert ist.</t>
  </si>
  <si>
    <t>Bitte geben Sie eine kurze Beschreibung der Funktionen, die von den wichtigsten Unternehmen ausgeübt werden (z. B. F&amp;E, Beschaffung, Produktion, Finanzierung, Verkauf, Management).</t>
  </si>
  <si>
    <t>Kopien der Verrechnungspreispolitik der Zielgruppe und der gruppeninternen Vereinbarungen.</t>
  </si>
  <si>
    <t>Wage Tax</t>
  </si>
  <si>
    <t>Angaben darüber, wer bei der Zielgesellschaft für Lohnsteuerangelegenheiten zuständig ist, Inanspruchnahme von Beratern usw.</t>
  </si>
  <si>
    <t>Kopie des letzten Lohnsteuerprüfungsberichts.</t>
  </si>
  <si>
    <t>Kopie des letzten Prüfberichts der Sozialversicherung.</t>
  </si>
  <si>
    <t>VAT</t>
  </si>
  <si>
    <t>Angaben darüber, wer für Mehrwertsteuerangelegenheiten zuständig ist, Inanspruchnahme von Beratern usw.</t>
  </si>
  <si>
    <t>Kopie des letzten Mehrwertsteuer-Sonderprüfungsberichts.</t>
  </si>
  <si>
    <t>Immobilen</t>
  </si>
  <si>
    <t>Liste der Transaktionen, die seit dem letzten, nicht geprüften Geschäftsjahr der Grunderwerbsteuer unterliegen, einschließlich Datum der Transaktion und Höhe der Steuer - falls nicht bereits zuvor beschrieben / oben.</t>
  </si>
  <si>
    <t>Einzelheiten zum potenziellen Immobilienwert im Rahmen der geplanten Transaktion. (z. B. beglaubigte Schätzung)</t>
  </si>
  <si>
    <t>Andere Themen</t>
  </si>
  <si>
    <t>Angaben zu Strafen, Bußgeldern oder Zinsbelastungen in den letzten 3 Jahren.</t>
  </si>
  <si>
    <t>Einzelheiten zu allen Steuervermeidungsmaßnahmen, an denen die Zielgesellschaft beteiligt war, unabhängig davon, ob sie Nutznießer einer Steuerersparnis war oder nicht.</t>
  </si>
  <si>
    <t>Angaben zu etwaigen steuerwirksamen Sonderabschreibungen in der Vergangenheit, z.B. bei Immobilien und Beteiligungen.</t>
  </si>
  <si>
    <t>Liste der sogenannten "einbringungsgeborenen Anteile" und ihr jeweiliges Entstehungsdatum.</t>
  </si>
  <si>
    <t>Tax-Due-Diligence-Berichte, die für die jüngsten Übernahmen durch die Zielgruppe erstellt wurden.</t>
  </si>
  <si>
    <t>Angaben zu etwaigen Steuerfreistellungen, von denen das Unternehmen profitiert oder für die es möglicherweise haftet (einschließlich einer Kopie der jeweiligen Steuerfreistellung).</t>
  </si>
  <si>
    <t>Dokumente über Investitionszuschüsse und andere steuerliche Anreize, d. h. das Investitionszulagengesetz.</t>
  </si>
  <si>
    <t>Einzelheiten zu anderen potenziellen Steuerrisiken/-gefährdungen.</t>
  </si>
  <si>
    <t>Legal (Recht)</t>
  </si>
  <si>
    <t>Datengrundlagen</t>
  </si>
  <si>
    <t>Gesellschaftsrecht</t>
  </si>
  <si>
    <t>Gründungsurkunde, Gesellschaftsvertrag, Handelsregisteranmeldung und Einzahlungsbelege der Einlage</t>
  </si>
  <si>
    <t>Gesellschafterliste (inkl. Anteilsbesitze, Kapitalanteile und deren Teilbarkeit)</t>
  </si>
  <si>
    <t>Gesellschaftervereinbarung, Satzungen (inkl. "change of control"-Bestimmungen)</t>
  </si>
  <si>
    <t>Gesellschafterbeschöüsse und Gesellschafterprotokolle</t>
  </si>
  <si>
    <t>Besondere Bestimmungen aus dem Gesellschaftsrecht (z.B. Squeeze Out)</t>
  </si>
  <si>
    <t>Vertragsrecht</t>
  </si>
  <si>
    <t>Kundenverträgen (laufende und zukünftige Beauftragungen, Rahmenverträge, wesentliche Altverträge)</t>
  </si>
  <si>
    <t>Lieferantenverträge</t>
  </si>
  <si>
    <t>Darlehensverträge (Covenant, Sicherheiten, „change of control“-Bestimmungen)</t>
  </si>
  <si>
    <t>Gewährleistungsverpflichtungen</t>
  </si>
  <si>
    <t>Geheimhaltungsverpflichtungen und Zusicherung von Schutzrechten (Kundenschutz, Mitarbeiterschutz, Knowhow, etc.)</t>
  </si>
  <si>
    <t>Allgemeine Geschäftsbedingungen (AGBs) und ggf. Abweichung von eigenen AGBs</t>
  </si>
  <si>
    <t>Arbeits- und Tarifrecht</t>
  </si>
  <si>
    <t>Individualverträge</t>
  </si>
  <si>
    <t>Betriebsvereinbarungen und tarifrechtlichen Bestimmungen</t>
  </si>
  <si>
    <t>Prüfung der Notwendigkeit des Betriebsübergang nach 613a BGB und die Auswirkungen, die dieser mit sich bringt (insbesondere Sozialpläne, Restrukturierungen, Abfindungszahlungen)</t>
  </si>
  <si>
    <t>ESG (Umwelt, Soziales und Governance)</t>
  </si>
  <si>
    <t>Enviromental</t>
  </si>
  <si>
    <t>Einhaltung von regulatorischen Vorschriften</t>
  </si>
  <si>
    <t>Überwachung ökologischer Auswirkungen in der Produktion</t>
  </si>
  <si>
    <t>Emissionsminimierung</t>
  </si>
  <si>
    <t>Minimierung des Energie- und Wasserverbrauchs</t>
  </si>
  <si>
    <t>Restriktion jeglichen Schadstoffen in der Supply Chain</t>
  </si>
  <si>
    <t>Aufstellung eines Abfallmanagementsystems</t>
  </si>
  <si>
    <t>Schonung des Boden- und Grundwassers</t>
  </si>
  <si>
    <t>Einführung  nachhaltiger Verpackungsdesigns</t>
  </si>
  <si>
    <t>Social</t>
  </si>
  <si>
    <t>Arbeitsschutz und Arbeitsbedingungen</t>
  </si>
  <si>
    <t>Bewertung sozialer Auswirkung des Produktportfolios</t>
  </si>
  <si>
    <t>Kundendatenschutz / Produktregulierungen</t>
  </si>
  <si>
    <t>Faire Offenlegung und Kennzeichnung / Faires Marketing</t>
  </si>
  <si>
    <t>Sicherstellung der Diversität und Chancengleichheit im Unternehmen</t>
  </si>
  <si>
    <t>Governance</t>
  </si>
  <si>
    <t>Mechanismen zur Vorbeugung von Korruption</t>
  </si>
  <si>
    <t>Etablierung eines Risikomanagmentsystems</t>
  </si>
  <si>
    <t>Wettbewerbsrechtliches Verhalten</t>
  </si>
  <si>
    <t>Einhaltung und Überwachung der Richtlinien innerhalb der Supply Chain</t>
  </si>
  <si>
    <t>Tech und IT</t>
  </si>
  <si>
    <t>Berichte / Daten / Informationen über:</t>
  </si>
  <si>
    <t>Software- und Hardware-Architektur der eingesetzten Systeme</t>
  </si>
  <si>
    <t>IT-Security: Datensicherheit und -schutz, zum Beispiel Backup-Routinen und Zugriffsschutz von Außen und Innen</t>
  </si>
  <si>
    <t>IT-Team und Verantwortlichkeit</t>
  </si>
  <si>
    <t>Prüfungsberichte externer Prüfer, zum Beispiel im Rahmen von Software-Zertifizierungen oder Prüfung von Kontrollsystemen, Untersuchungsberichte von Hacker-Angriffen,ect.</t>
  </si>
  <si>
    <t>Untersuchung externer Software oder auch eingesetzter Open-Source-Software</t>
  </si>
  <si>
    <t>Skalierbarkeit</t>
  </si>
  <si>
    <t>Codereview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</si>
</sst>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d\-mmm\-yy"/>
    <numFmt numFmtId="166" formatCode="_(* #,##0.0_);_(* \(#,##0.0\);_(* &quot;-&quot;?_);@_)"/>
  </numFmts>
  <fonts count="26">
    <font>
      <sz val="11"/>
      <color theme="1"/>
      <name val="Calibri"/>
      <family val="2"/>
      <scheme val="minor"/>
    </font>
    <font>
      <sz val="10"/>
      <name val="Univers"/>
      <family val="2"/>
    </font>
    <font>
      <sz val="10"/>
      <name val="Georgia"/>
      <family val="1"/>
    </font>
    <font>
      <sz val="10"/>
      <name val="Times New Roman"/>
      <family val="1"/>
    </font>
    <font>
      <b/>
      <sz val="14"/>
      <name val="Georgia"/>
      <family val="1"/>
    </font>
    <font>
      <b/>
      <sz val="14"/>
      <color indexed="31"/>
      <name val="Georgia"/>
      <family val="1"/>
    </font>
    <font>
      <b/>
      <sz val="12"/>
      <color indexed="31"/>
      <name val="Georgia"/>
      <family val="1"/>
    </font>
    <font>
      <b/>
      <sz val="12"/>
      <name val="Georgia"/>
      <family val="1"/>
    </font>
    <font>
      <b/>
      <sz val="10"/>
      <name val="Georgia"/>
      <family val="1"/>
    </font>
    <font>
      <sz val="10"/>
      <name val="Arial"/>
    </font>
    <font>
      <sz val="9"/>
      <name val="Arial"/>
    </font>
    <font>
      <sz val="9"/>
      <name val="Arial"/>
      <family val="2"/>
    </font>
    <font>
      <b/>
      <sz val="10"/>
      <color indexed="31"/>
      <name val="Georgia"/>
      <family val="1"/>
    </font>
    <font>
      <b/>
      <sz val="9"/>
      <name val="Arial"/>
      <family val="2"/>
    </font>
    <font>
      <i/>
      <sz val="8"/>
      <name val="Univers"/>
      <family val="2"/>
    </font>
    <font>
      <sz val="8"/>
      <color indexed="81"/>
      <name val="Tahoma"/>
    </font>
    <font>
      <u/>
      <sz val="10"/>
      <name val="Univers"/>
      <family val="2"/>
    </font>
    <font>
      <b/>
      <sz val="10"/>
      <name val="Univers"/>
      <family val="2"/>
    </font>
    <font>
      <sz val="10"/>
      <color rgb="FFFF0000"/>
      <name val="Univers"/>
      <family val="2"/>
    </font>
    <font>
      <b/>
      <sz val="10"/>
      <color rgb="FFFF0000"/>
      <name val="Georgia"/>
      <family val="1"/>
    </font>
    <font>
      <b/>
      <sz val="14"/>
      <color rgb="FFFF0000"/>
      <name val="Georgia"/>
      <family val="1"/>
    </font>
    <font>
      <b/>
      <sz val="12"/>
      <color rgb="FFFF0000"/>
      <name val="Georgia"/>
      <family val="1"/>
    </font>
    <font>
      <sz val="9"/>
      <color rgb="FFFF0000"/>
      <name val="Arial"/>
      <family val="2"/>
    </font>
    <font>
      <sz val="10"/>
      <color theme="1"/>
      <name val="Univers"/>
      <family val="2"/>
    </font>
    <font>
      <b/>
      <sz val="10"/>
      <color indexed="31"/>
      <name val="Univers"/>
      <family val="2"/>
    </font>
    <font>
      <i/>
      <sz val="10"/>
      <name val="Univers"/>
      <family val="2"/>
    </font>
  </fonts>
  <fills count="2">
    <fill>
      <patternFill patternType="none"/>
    </fill>
    <fill>
      <patternFill patternType="gray125"/>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alignment wrapText="1"/>
      <protection locked="0"/>
    </xf>
    <xf numFmtId="0" fontId="9" fillId="0" borderId="0"/>
    <xf numFmtId="166" fontId="10" fillId="0" borderId="0" applyAlignment="0" applyProtection="0"/>
  </cellStyleXfs>
  <cellXfs count="71">
    <xf numFmtId="0" fontId="0" fillId="0" borderId="0" xfId="0"/>
    <xf numFmtId="164" fontId="2" fillId="0" borderId="0" xfId="1" applyNumberFormat="1" applyFont="1" applyAlignment="1">
      <alignment vertical="center" wrapText="1"/>
      <protection locked="0"/>
    </xf>
    <xf numFmtId="164" fontId="3" fillId="0" borderId="0" xfId="1" applyNumberFormat="1" applyFont="1" applyAlignment="1">
      <alignment vertical="center" wrapText="1"/>
      <protection locked="0"/>
    </xf>
    <xf numFmtId="164" fontId="2" fillId="0" borderId="0" xfId="1" applyNumberFormat="1" applyFont="1" applyAlignment="1">
      <alignment horizontal="left" vertical="center" wrapText="1"/>
      <protection locked="0"/>
    </xf>
    <xf numFmtId="164" fontId="2" fillId="0" borderId="0" xfId="1" applyNumberFormat="1" applyFont="1">
      <alignment wrapText="1"/>
      <protection locked="0"/>
    </xf>
    <xf numFmtId="164" fontId="3" fillId="0" borderId="0" xfId="1" applyNumberFormat="1" applyFont="1" applyAlignment="1">
      <alignment horizontal="center" vertical="center" wrapText="1"/>
      <protection locked="0"/>
    </xf>
    <xf numFmtId="0" fontId="4" fillId="0" borderId="0" xfId="1" applyFont="1" applyAlignment="1">
      <alignment horizontal="left" vertical="top" wrapText="1"/>
      <protection locked="0"/>
    </xf>
    <xf numFmtId="0" fontId="5" fillId="0" borderId="0" xfId="1" applyFont="1" applyAlignment="1">
      <alignment vertical="top" wrapText="1"/>
      <protection locked="0"/>
    </xf>
    <xf numFmtId="164" fontId="2" fillId="0" borderId="1" xfId="1" applyNumberFormat="1" applyFont="1" applyBorder="1" applyAlignment="1">
      <alignment horizontal="left" vertical="center" wrapText="1"/>
      <protection locked="0"/>
    </xf>
    <xf numFmtId="164" fontId="2" fillId="0" borderId="1" xfId="1" applyNumberFormat="1" applyFont="1" applyBorder="1">
      <alignment wrapText="1"/>
      <protection locked="0"/>
    </xf>
    <xf numFmtId="164" fontId="2" fillId="0" borderId="2" xfId="1" applyNumberFormat="1" applyFont="1" applyBorder="1">
      <alignment wrapText="1"/>
      <protection locked="0"/>
    </xf>
    <xf numFmtId="164" fontId="6" fillId="0" borderId="2" xfId="1" applyNumberFormat="1" applyFont="1" applyBorder="1">
      <alignment wrapText="1"/>
      <protection locked="0"/>
    </xf>
    <xf numFmtId="0" fontId="7" fillId="0" borderId="3" xfId="1" applyFont="1" applyBorder="1" applyAlignment="1">
      <alignment vertical="top" wrapText="1"/>
      <protection locked="0"/>
    </xf>
    <xf numFmtId="0" fontId="4" fillId="0" borderId="4" xfId="1" applyFont="1" applyBorder="1" applyAlignment="1">
      <alignment vertical="top" wrapText="1"/>
      <protection locked="0"/>
    </xf>
    <xf numFmtId="0" fontId="2" fillId="0" borderId="5" xfId="1" applyFont="1" applyBorder="1" applyAlignment="1">
      <alignment vertical="top" wrapText="1"/>
      <protection locked="0"/>
    </xf>
    <xf numFmtId="0" fontId="2" fillId="0" borderId="6" xfId="1" applyFont="1" applyBorder="1" applyAlignment="1">
      <alignment vertical="top" wrapText="1"/>
      <protection locked="0"/>
    </xf>
    <xf numFmtId="0" fontId="2" fillId="0" borderId="7" xfId="1" applyFont="1" applyBorder="1" applyAlignment="1">
      <alignment vertical="top" wrapText="1"/>
      <protection locked="0"/>
    </xf>
    <xf numFmtId="0" fontId="2" fillId="0" borderId="8" xfId="1" applyFont="1" applyBorder="1" applyAlignment="1">
      <alignment vertical="top" wrapText="1"/>
      <protection locked="0"/>
    </xf>
    <xf numFmtId="0" fontId="2" fillId="0" borderId="0" xfId="1" applyFont="1" applyAlignment="1">
      <alignment horizontal="left" vertical="center" wrapText="1"/>
      <protection locked="0"/>
    </xf>
    <xf numFmtId="165" fontId="8" fillId="0" borderId="0" xfId="1" applyNumberFormat="1" applyFont="1" applyAlignment="1">
      <alignment horizontal="left" vertical="center" wrapText="1"/>
      <protection locked="0"/>
    </xf>
    <xf numFmtId="164" fontId="3" fillId="0" borderId="0" xfId="1" applyNumberFormat="1" applyFont="1" applyAlignment="1">
      <alignment horizontal="left" vertical="center" wrapText="1"/>
      <protection locked="0"/>
    </xf>
    <xf numFmtId="164" fontId="3" fillId="0" borderId="0" xfId="1" applyNumberFormat="1" applyFont="1">
      <alignment wrapText="1"/>
      <protection locked="0"/>
    </xf>
    <xf numFmtId="0" fontId="4" fillId="0" borderId="0" xfId="2" applyFont="1" applyAlignment="1">
      <alignment horizontal="left" vertical="center" wrapText="1"/>
    </xf>
    <xf numFmtId="0" fontId="4" fillId="0" borderId="0" xfId="2" applyFont="1" applyAlignment="1">
      <alignment vertical="center" wrapText="1"/>
    </xf>
    <xf numFmtId="0" fontId="4" fillId="0" borderId="0" xfId="2" applyFont="1" applyAlignment="1">
      <alignment horizontal="center" vertical="center" wrapText="1"/>
    </xf>
    <xf numFmtId="166" fontId="11" fillId="0" borderId="0" xfId="3" applyFont="1"/>
    <xf numFmtId="0" fontId="2" fillId="0" borderId="0" xfId="2" applyFont="1" applyAlignment="1">
      <alignment horizontal="right" vertical="center" wrapText="1"/>
    </xf>
    <xf numFmtId="165" fontId="12" fillId="0" borderId="0" xfId="2" applyNumberFormat="1" applyFont="1" applyAlignment="1">
      <alignment horizontal="center" vertical="center" wrapText="1"/>
    </xf>
    <xf numFmtId="166" fontId="10" fillId="0" borderId="0" xfId="3"/>
    <xf numFmtId="0" fontId="7" fillId="0" borderId="0" xfId="2" applyFont="1" applyAlignment="1">
      <alignment vertical="center" wrapText="1"/>
    </xf>
    <xf numFmtId="0" fontId="7" fillId="0" borderId="0" xfId="2" applyFont="1" applyAlignment="1">
      <alignment horizontal="center" vertical="center" wrapText="1"/>
    </xf>
    <xf numFmtId="0" fontId="7" fillId="0" borderId="0" xfId="2" applyFont="1" applyAlignment="1">
      <alignment horizontal="left" vertical="center" wrapText="1"/>
    </xf>
    <xf numFmtId="166" fontId="11" fillId="0" borderId="0" xfId="3" applyFont="1" applyAlignment="1">
      <alignment horizontal="left"/>
    </xf>
    <xf numFmtId="166" fontId="13" fillId="0" borderId="0" xfId="3" applyFont="1"/>
    <xf numFmtId="2" fontId="1" fillId="0" borderId="9" xfId="2" applyNumberFormat="1" applyFont="1" applyBorder="1" applyAlignment="1">
      <alignment horizontal="left" wrapText="1"/>
    </xf>
    <xf numFmtId="2" fontId="1" fillId="0" borderId="9" xfId="2" applyNumberFormat="1" applyFont="1" applyBorder="1" applyAlignment="1">
      <alignment horizontal="center" wrapText="1"/>
    </xf>
    <xf numFmtId="2" fontId="1" fillId="0" borderId="11" xfId="2" applyNumberFormat="1" applyFont="1" applyBorder="1" applyAlignment="1">
      <alignment vertical="top" wrapText="1"/>
    </xf>
    <xf numFmtId="2" fontId="1" fillId="0" borderId="11" xfId="2" applyNumberFormat="1" applyFont="1" applyBorder="1" applyAlignment="1">
      <alignment horizontal="center" vertical="top" wrapText="1"/>
    </xf>
    <xf numFmtId="2" fontId="14" fillId="0" borderId="11" xfId="2" applyNumberFormat="1" applyFont="1" applyBorder="1" applyAlignment="1">
      <alignment horizontal="center" vertical="top" wrapText="1"/>
    </xf>
    <xf numFmtId="2" fontId="1" fillId="0" borderId="2" xfId="2" applyNumberFormat="1" applyFont="1" applyBorder="1" applyAlignment="1">
      <alignment horizontal="center" vertical="center" wrapText="1"/>
    </xf>
    <xf numFmtId="2" fontId="1" fillId="0" borderId="2" xfId="2" applyNumberFormat="1" applyFont="1" applyBorder="1" applyAlignment="1">
      <alignment horizontal="left" vertical="center" wrapText="1"/>
    </xf>
    <xf numFmtId="2" fontId="16" fillId="0" borderId="2" xfId="2" applyNumberFormat="1" applyFont="1" applyBorder="1" applyAlignment="1">
      <alignment horizontal="left" vertical="center" wrapText="1"/>
    </xf>
    <xf numFmtId="2" fontId="17" fillId="0" borderId="2" xfId="2" applyNumberFormat="1" applyFont="1" applyBorder="1" applyAlignment="1">
      <alignment horizontal="center" vertical="center" wrapText="1"/>
    </xf>
    <xf numFmtId="166" fontId="10" fillId="0" borderId="0" xfId="3" applyAlignment="1">
      <alignment horizontal="left"/>
    </xf>
    <xf numFmtId="2" fontId="1" fillId="0" borderId="2" xfId="2" applyNumberFormat="1" applyFont="1" applyBorder="1" applyAlignment="1">
      <alignment horizontal="left" vertical="center" wrapText="1" indent="2"/>
    </xf>
    <xf numFmtId="165" fontId="19" fillId="0" borderId="0" xfId="2" applyNumberFormat="1" applyFont="1" applyAlignment="1">
      <alignment horizontal="center" vertical="center" wrapText="1"/>
    </xf>
    <xf numFmtId="0" fontId="20" fillId="0" borderId="0" xfId="2" applyFont="1" applyAlignment="1">
      <alignment horizontal="center" vertical="center" wrapText="1"/>
    </xf>
    <xf numFmtId="0" fontId="21" fillId="0" borderId="0" xfId="2" applyFont="1" applyAlignment="1">
      <alignment horizontal="center" vertical="center" wrapText="1"/>
    </xf>
    <xf numFmtId="166" fontId="22" fillId="0" borderId="0" xfId="3" applyFont="1"/>
    <xf numFmtId="2" fontId="18" fillId="0" borderId="12" xfId="2" applyNumberFormat="1" applyFont="1" applyBorder="1" applyAlignment="1">
      <alignment horizontal="center" vertical="top" wrapText="1"/>
    </xf>
    <xf numFmtId="2" fontId="18" fillId="0" borderId="2" xfId="2" applyNumberFormat="1" applyFont="1" applyBorder="1" applyAlignment="1">
      <alignment horizontal="center" vertical="center" wrapText="1"/>
    </xf>
    <xf numFmtId="2" fontId="23" fillId="0" borderId="10" xfId="2" applyNumberFormat="1" applyFont="1" applyBorder="1" applyAlignment="1">
      <alignment horizontal="center" wrapText="1"/>
    </xf>
    <xf numFmtId="165" fontId="8" fillId="0" borderId="0" xfId="2" applyNumberFormat="1" applyFont="1" applyAlignment="1">
      <alignment horizontal="center" vertical="center" wrapText="1"/>
    </xf>
    <xf numFmtId="166" fontId="17" fillId="0" borderId="0" xfId="3" applyFont="1"/>
    <xf numFmtId="0" fontId="23" fillId="0" borderId="0" xfId="0" applyFont="1" applyAlignment="1">
      <alignment horizontal="left" vertical="center"/>
    </xf>
    <xf numFmtId="2" fontId="1" fillId="0" borderId="12" xfId="2" applyNumberFormat="1" applyFont="1" applyBorder="1" applyAlignment="1">
      <alignment horizontal="left" vertical="center" wrapText="1"/>
    </xf>
    <xf numFmtId="0" fontId="17" fillId="0" borderId="0" xfId="2" applyFont="1" applyAlignment="1">
      <alignment horizontal="left" vertical="center" wrapText="1"/>
    </xf>
    <xf numFmtId="0" fontId="24" fillId="0" borderId="0" xfId="1" applyFont="1" applyAlignment="1">
      <alignment vertical="top" wrapText="1"/>
      <protection locked="0"/>
    </xf>
    <xf numFmtId="0" fontId="17" fillId="0" borderId="0" xfId="2" applyFont="1" applyAlignment="1">
      <alignment vertical="center" wrapText="1"/>
    </xf>
    <xf numFmtId="166" fontId="1" fillId="0" borderId="0" xfId="3" applyFont="1"/>
    <xf numFmtId="2" fontId="25" fillId="0" borderId="11" xfId="2" applyNumberFormat="1" applyFont="1" applyBorder="1" applyAlignment="1">
      <alignment horizontal="center" vertical="top" wrapText="1"/>
    </xf>
    <xf numFmtId="0" fontId="23" fillId="0" borderId="2" xfId="0" applyFont="1" applyBorder="1" applyAlignment="1">
      <alignment horizontal="left" vertical="center" wrapText="1"/>
    </xf>
    <xf numFmtId="0" fontId="23" fillId="0" borderId="12" xfId="0" applyFont="1" applyBorder="1" applyAlignment="1">
      <alignment horizontal="left" vertical="center" wrapText="1"/>
    </xf>
    <xf numFmtId="2" fontId="1" fillId="0" borderId="0" xfId="2" applyNumberFormat="1" applyFont="1" applyAlignment="1">
      <alignment horizontal="left" vertical="center" wrapText="1"/>
    </xf>
    <xf numFmtId="166" fontId="17" fillId="0" borderId="14" xfId="3" applyFont="1" applyBorder="1"/>
    <xf numFmtId="166" fontId="11" fillId="0" borderId="13" xfId="3" applyFont="1" applyBorder="1"/>
    <xf numFmtId="0" fontId="4" fillId="0" borderId="0" xfId="1" applyFont="1" applyAlignment="1">
      <alignment horizontal="left" vertical="center" wrapText="1"/>
      <protection locked="0"/>
    </xf>
    <xf numFmtId="0" fontId="4" fillId="0" borderId="0" xfId="2" applyFont="1" applyAlignment="1">
      <alignment horizontal="left" vertical="center" wrapText="1"/>
    </xf>
    <xf numFmtId="0" fontId="7" fillId="0" borderId="0" xfId="2" applyFont="1" applyAlignment="1">
      <alignment horizontal="left" vertical="center" wrapText="1"/>
    </xf>
    <xf numFmtId="2" fontId="1" fillId="0" borderId="10" xfId="2" applyNumberFormat="1" applyFont="1" applyBorder="1" applyAlignment="1">
      <alignment horizontal="center" vertical="center"/>
    </xf>
    <xf numFmtId="2" fontId="1" fillId="0" borderId="12" xfId="2" applyNumberFormat="1" applyFont="1" applyBorder="1" applyAlignment="1">
      <alignment horizontal="center" vertical="center"/>
    </xf>
  </cellXfs>
  <cellStyles count="4">
    <cellStyle name="Brand Default" xfId="3" xr:uid="{10C49048-20F3-428C-BAAE-41E288723575}"/>
    <cellStyle name="Standard" xfId="0" builtinId="0"/>
    <cellStyle name="Standard 2" xfId="2" xr:uid="{8043BE76-4F20-4F8C-83C7-2314510A2F23}"/>
    <cellStyle name="Standard_Request List PwC_21 August 2008" xfId="1" xr:uid="{98AD03EA-3809-4507-8D9B-5A1629A65F1C}"/>
  </cellStyles>
  <dxfs count="93">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359019</xdr:rowOff>
    </xdr:from>
    <xdr:to>
      <xdr:col>1</xdr:col>
      <xdr:colOff>792459</xdr:colOff>
      <xdr:row>0</xdr:row>
      <xdr:rowOff>965081</xdr:rowOff>
    </xdr:to>
    <xdr:pic>
      <xdr:nvPicPr>
        <xdr:cNvPr id="3" name="Grafik 1">
          <a:extLst>
            <a:ext uri="{FF2B5EF4-FFF2-40B4-BE49-F238E27FC236}">
              <a16:creationId xmlns:a16="http://schemas.microsoft.com/office/drawing/2014/main" id="{A44CFB1D-CE42-44BF-B26E-24F172D2EF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9019"/>
          <a:ext cx="2406287" cy="604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icolasvonWestphalen\Downloads\2011-09-22%20Qundis%20Info%20Request%20List_Input%20Ta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kumente/PwC-Report_DD-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Info"/>
      <sheetName val="Header"/>
      <sheetName val="Business Overview"/>
      <sheetName val="Market and customers"/>
      <sheetName val="Historical Trading"/>
      <sheetName val="Balance Sheet"/>
      <sheetName val="Cash Flows"/>
      <sheetName val="Business Plan"/>
      <sheetName val="Tax"/>
    </sheetNames>
    <sheetDataSet>
      <sheetData sheetId="0" refreshError="1"/>
      <sheetData sheetId="1" refreshError="1">
        <row r="3">
          <cell r="A3" t="str">
            <v>Information Request List</v>
          </cell>
        </row>
        <row r="36">
          <cell r="A36" t="str">
            <v>open</v>
          </cell>
        </row>
        <row r="37">
          <cell r="A37" t="str">
            <v>partly pending</v>
          </cell>
        </row>
        <row r="38">
          <cell r="A38" t="str">
            <v>received</v>
          </cell>
        </row>
        <row r="39">
          <cell r="A39" t="str">
            <v>NA</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Info"/>
      <sheetName val="Header"/>
      <sheetName val="Business Overview"/>
      <sheetName val="Market and customers"/>
      <sheetName val="Historical Trading"/>
      <sheetName val="Balance Sheet"/>
      <sheetName val="Cash Flows"/>
      <sheetName val="Business Plan"/>
      <sheetName val="Tax"/>
    </sheetNames>
    <sheetDataSet>
      <sheetData sheetId="0"/>
      <sheetData sheetId="1">
        <row r="16">
          <cell r="A16" t="str">
            <v>Updated:</v>
          </cell>
        </row>
        <row r="17">
          <cell r="A17">
            <v>40808</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frank.ciecior@de.pwc.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D10FB-0839-4D42-A55E-819986A65A08}">
  <sheetPr>
    <pageSetUpPr fitToPage="1"/>
  </sheetPr>
  <dimension ref="A1:D40"/>
  <sheetViews>
    <sheetView showGridLines="0" defaultGridColor="0" topLeftCell="A5" colorId="8" zoomScale="130" zoomScaleNormal="130" zoomScaleSheetLayoutView="100" workbookViewId="0">
      <selection activeCell="E6" sqref="E6"/>
    </sheetView>
  </sheetViews>
  <sheetFormatPr defaultColWidth="12.28515625" defaultRowHeight="13.15"/>
  <cols>
    <col min="1" max="1" width="23.42578125" style="20" customWidth="1"/>
    <col min="2" max="2" width="46.42578125" style="21" customWidth="1"/>
    <col min="3" max="4" width="12.28515625" style="5" customWidth="1"/>
    <col min="5" max="5" width="15.42578125" style="21" customWidth="1"/>
    <col min="6" max="16384" width="12.28515625" style="21"/>
  </cols>
  <sheetData>
    <row r="1" spans="1:2" s="2" customFormat="1" ht="84" customHeight="1">
      <c r="A1" s="1"/>
      <c r="B1" s="1"/>
    </row>
    <row r="2" spans="1:2" ht="21" customHeight="1">
      <c r="A2" s="3"/>
      <c r="B2" s="4"/>
    </row>
    <row r="3" spans="1:2" ht="18">
      <c r="A3" s="66" t="s">
        <v>0</v>
      </c>
      <c r="B3" s="66"/>
    </row>
    <row r="4" spans="1:2" ht="19.5" customHeight="1">
      <c r="A4" s="6" t="s">
        <v>1</v>
      </c>
      <c r="B4" s="7" t="s">
        <v>2</v>
      </c>
    </row>
    <row r="5" spans="1:2" ht="6" customHeight="1">
      <c r="A5" s="8"/>
      <c r="B5" s="9"/>
    </row>
    <row r="6" spans="1:2" ht="53.25" customHeight="1">
      <c r="A6" s="3"/>
      <c r="B6" s="4"/>
    </row>
    <row r="7" spans="1:2" ht="15.75" customHeight="1">
      <c r="A7" s="10" t="s">
        <v>3</v>
      </c>
      <c r="B7" s="11" t="s">
        <v>4</v>
      </c>
    </row>
    <row r="8" spans="1:2" ht="13.9" thickBot="1">
      <c r="A8" s="3"/>
      <c r="B8" s="4"/>
    </row>
    <row r="9" spans="1:2" ht="18">
      <c r="A9" s="12" t="s">
        <v>5</v>
      </c>
      <c r="B9" s="13"/>
    </row>
    <row r="10" spans="1:2">
      <c r="A10" s="14"/>
      <c r="B10" s="15"/>
    </row>
    <row r="11" spans="1:2" ht="27" customHeight="1">
      <c r="A11" s="14" t="s">
        <v>6</v>
      </c>
      <c r="B11" s="15" t="s">
        <v>7</v>
      </c>
    </row>
    <row r="12" spans="1:2" ht="29.65" customHeight="1" thickBot="1">
      <c r="A12" s="16" t="s">
        <v>8</v>
      </c>
      <c r="B12" s="17" t="s">
        <v>9</v>
      </c>
    </row>
    <row r="13" spans="1:2">
      <c r="A13" s="3"/>
      <c r="B13" s="4"/>
    </row>
    <row r="14" spans="1:2">
      <c r="A14" s="3"/>
      <c r="B14" s="4"/>
    </row>
    <row r="15" spans="1:2">
      <c r="A15" s="3"/>
      <c r="B15" s="4"/>
    </row>
    <row r="16" spans="1:2">
      <c r="A16" s="18" t="s">
        <v>10</v>
      </c>
      <c r="B16" s="4"/>
    </row>
    <row r="17" spans="1:2">
      <c r="A17" s="19">
        <v>44552</v>
      </c>
      <c r="B17" s="4"/>
    </row>
    <row r="18" spans="1:2">
      <c r="A18" s="3"/>
      <c r="B18" s="4"/>
    </row>
    <row r="36" spans="1:1">
      <c r="A36" s="20" t="s">
        <v>11</v>
      </c>
    </row>
    <row r="37" spans="1:1">
      <c r="A37" s="20" t="s">
        <v>12</v>
      </c>
    </row>
    <row r="38" spans="1:1">
      <c r="A38" s="20" t="s">
        <v>13</v>
      </c>
    </row>
    <row r="39" spans="1:1">
      <c r="A39" s="20" t="s">
        <v>14</v>
      </c>
    </row>
    <row r="40" spans="1:1">
      <c r="A40" s="21"/>
    </row>
  </sheetData>
  <mergeCells count="1">
    <mergeCell ref="A3:B3"/>
  </mergeCells>
  <hyperlinks>
    <hyperlink ref="A24" r:id="rId1" display="frank.ciecior@de.pwc.com" xr:uid="{DF15121A-F606-45B8-BF84-CEEBBBD56D4F}"/>
  </hyperlinks>
  <pageMargins left="0.74803149606299213" right="0.51181102362204722" top="0.51181102362204722" bottom="0.76" header="0.51181102362204722" footer="0.51181102362204722"/>
  <pageSetup paperSize="9" fitToHeight="5" orientation="landscape"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857A-9616-44B5-9226-E27B72A13A47}">
  <dimension ref="B1:M26"/>
  <sheetViews>
    <sheetView showGridLines="0" zoomScaleNormal="100" workbookViewId="0">
      <selection activeCell="H1" sqref="H1"/>
    </sheetView>
  </sheetViews>
  <sheetFormatPr defaultColWidth="9.28515625" defaultRowHeight="11.45" outlineLevelCol="1"/>
  <cols>
    <col min="1" max="1" width="2.5703125" style="28" customWidth="1"/>
    <col min="2" max="2" width="5.5703125" style="28" customWidth="1"/>
    <col min="3" max="3" width="9.140625" style="28" customWidth="1"/>
    <col min="4" max="4" width="45.7109375" style="28" customWidth="1"/>
    <col min="5" max="5" width="9.28515625" style="28" hidden="1" customWidth="1" outlineLevel="1"/>
    <col min="6" max="6" width="9.85546875" style="28" hidden="1" customWidth="1" outlineLevel="1"/>
    <col min="7" max="7" width="13.85546875" style="25" customWidth="1" collapsed="1"/>
    <col min="8" max="8" width="40.7109375" style="32" customWidth="1"/>
    <col min="9" max="9" width="10.5703125" style="48" bestFit="1" customWidth="1"/>
    <col min="10" max="10" width="1.7109375" style="28" customWidth="1"/>
    <col min="11" max="12" width="9.28515625" style="28" hidden="1" customWidth="1" outlineLevel="1"/>
    <col min="13" max="13" width="9.28515625" style="28" collapsed="1"/>
    <col min="14" max="16384" width="9.28515625" style="28"/>
  </cols>
  <sheetData>
    <row r="1" spans="2:12" ht="24.75" customHeight="1">
      <c r="B1" s="67"/>
      <c r="C1" s="67"/>
      <c r="D1" s="22" t="str">
        <f>+Header!A3</f>
        <v>Checkliste</v>
      </c>
      <c r="E1" s="23"/>
      <c r="F1" s="24"/>
      <c r="H1" s="26" t="s">
        <v>15</v>
      </c>
      <c r="I1" s="45">
        <f>+Header!A17</f>
        <v>44552</v>
      </c>
    </row>
    <row r="2" spans="2:12" ht="15.75" customHeight="1">
      <c r="B2" s="67" t="s">
        <v>16</v>
      </c>
      <c r="C2" s="67"/>
      <c r="D2" s="7" t="str">
        <f>+Header!B4</f>
        <v>PEGASUS</v>
      </c>
      <c r="E2" s="23"/>
      <c r="F2" s="24"/>
      <c r="G2" s="24"/>
      <c r="H2" s="22"/>
      <c r="I2" s="46"/>
    </row>
    <row r="3" spans="2:12" ht="15.6">
      <c r="B3" s="68" t="s">
        <v>17</v>
      </c>
      <c r="C3" s="68"/>
      <c r="D3" s="29" t="s">
        <v>18</v>
      </c>
      <c r="E3" s="29"/>
      <c r="F3" s="30"/>
      <c r="G3" s="30"/>
      <c r="H3" s="31"/>
      <c r="I3" s="47"/>
    </row>
    <row r="5" spans="2:12" ht="13.15">
      <c r="B5" s="34" t="s">
        <v>19</v>
      </c>
      <c r="C5" s="35" t="s">
        <v>20</v>
      </c>
      <c r="D5" s="35" t="s">
        <v>21</v>
      </c>
      <c r="E5" s="35" t="s">
        <v>22</v>
      </c>
      <c r="F5" s="35" t="s">
        <v>23</v>
      </c>
      <c r="G5" s="69" t="s">
        <v>24</v>
      </c>
      <c r="H5" s="35" t="s">
        <v>25</v>
      </c>
      <c r="I5" s="51" t="s">
        <v>26</v>
      </c>
      <c r="K5" s="51" t="s">
        <v>27</v>
      </c>
      <c r="L5" s="51" t="s">
        <v>28</v>
      </c>
    </row>
    <row r="6" spans="2:12" ht="13.15">
      <c r="B6" s="36"/>
      <c r="C6" s="37"/>
      <c r="D6" s="38"/>
      <c r="E6" s="37" t="s">
        <v>29</v>
      </c>
      <c r="F6" s="37" t="s">
        <v>29</v>
      </c>
      <c r="G6" s="70"/>
      <c r="H6" s="37"/>
      <c r="I6" s="49"/>
      <c r="K6" s="49"/>
      <c r="L6" s="49"/>
    </row>
    <row r="7" spans="2:12">
      <c r="H7" s="25"/>
      <c r="K7" s="48"/>
      <c r="L7" s="48"/>
    </row>
    <row r="8" spans="2:12" ht="56.25" customHeight="1">
      <c r="B8" s="39">
        <f t="shared" ref="B8:B26" si="0">1+(ROW(B8)-7)/100</f>
        <v>1.01</v>
      </c>
      <c r="C8" s="39"/>
      <c r="D8" s="40" t="s">
        <v>30</v>
      </c>
      <c r="E8" s="39"/>
      <c r="F8" s="39"/>
      <c r="G8" s="39"/>
      <c r="H8" s="40"/>
      <c r="I8" s="50" t="s">
        <v>31</v>
      </c>
      <c r="K8" s="50" t="s">
        <v>31</v>
      </c>
      <c r="L8" s="50" t="s">
        <v>31</v>
      </c>
    </row>
    <row r="9" spans="2:12" ht="22.5" customHeight="1">
      <c r="B9" s="39">
        <f t="shared" si="0"/>
        <v>1.02</v>
      </c>
      <c r="C9" s="39"/>
      <c r="D9" s="40" t="s">
        <v>32</v>
      </c>
      <c r="E9" s="39"/>
      <c r="F9" s="39"/>
      <c r="G9" s="39"/>
      <c r="H9" s="40"/>
      <c r="I9" s="50" t="s">
        <v>31</v>
      </c>
      <c r="K9" s="50" t="s">
        <v>31</v>
      </c>
      <c r="L9" s="50" t="s">
        <v>31</v>
      </c>
    </row>
    <row r="10" spans="2:12" ht="30" customHeight="1">
      <c r="B10" s="39">
        <f t="shared" si="0"/>
        <v>1.03</v>
      </c>
      <c r="C10" s="39"/>
      <c r="D10" s="40" t="s">
        <v>33</v>
      </c>
      <c r="E10" s="39"/>
      <c r="F10" s="39"/>
      <c r="G10" s="39"/>
      <c r="H10" s="40"/>
      <c r="I10" s="50" t="s">
        <v>31</v>
      </c>
      <c r="K10" s="50" t="s">
        <v>31</v>
      </c>
      <c r="L10" s="50" t="s">
        <v>31</v>
      </c>
    </row>
    <row r="11" spans="2:12" ht="67.900000000000006" customHeight="1">
      <c r="B11" s="39">
        <f t="shared" si="0"/>
        <v>1.04</v>
      </c>
      <c r="C11" s="39"/>
      <c r="D11" s="40" t="s">
        <v>34</v>
      </c>
      <c r="E11" s="39"/>
      <c r="F11" s="39"/>
      <c r="G11" s="39"/>
      <c r="H11" s="40"/>
      <c r="I11" s="50" t="s">
        <v>31</v>
      </c>
      <c r="K11" s="50" t="s">
        <v>31</v>
      </c>
      <c r="L11" s="50" t="s">
        <v>31</v>
      </c>
    </row>
    <row r="12" spans="2:12" ht="89.45" customHeight="1">
      <c r="B12" s="39">
        <f t="shared" si="0"/>
        <v>1.05</v>
      </c>
      <c r="C12" s="39"/>
      <c r="D12" s="40" t="s">
        <v>35</v>
      </c>
      <c r="E12" s="39"/>
      <c r="F12" s="39"/>
      <c r="G12" s="39"/>
      <c r="H12" s="40"/>
      <c r="I12" s="50" t="s">
        <v>31</v>
      </c>
      <c r="K12" s="50" t="s">
        <v>31</v>
      </c>
      <c r="L12" s="50" t="s">
        <v>31</v>
      </c>
    </row>
    <row r="13" spans="2:12" ht="42" customHeight="1">
      <c r="B13" s="39">
        <f t="shared" si="0"/>
        <v>1.06</v>
      </c>
      <c r="C13" s="39"/>
      <c r="D13" s="40" t="s">
        <v>36</v>
      </c>
      <c r="E13" s="39"/>
      <c r="F13" s="39"/>
      <c r="G13" s="39"/>
      <c r="H13" s="40"/>
      <c r="I13" s="50" t="s">
        <v>31</v>
      </c>
      <c r="K13" s="50" t="s">
        <v>31</v>
      </c>
      <c r="L13" s="50" t="s">
        <v>31</v>
      </c>
    </row>
    <row r="14" spans="2:12" ht="22.5" customHeight="1">
      <c r="B14" s="39">
        <f t="shared" si="0"/>
        <v>1.07</v>
      </c>
      <c r="C14" s="39"/>
      <c r="D14" s="40" t="s">
        <v>37</v>
      </c>
      <c r="E14" s="39"/>
      <c r="F14" s="39"/>
      <c r="G14" s="39"/>
      <c r="H14" s="40"/>
      <c r="I14" s="50" t="s">
        <v>31</v>
      </c>
      <c r="K14" s="50" t="s">
        <v>31</v>
      </c>
      <c r="L14" s="50" t="s">
        <v>31</v>
      </c>
    </row>
    <row r="15" spans="2:12" ht="22.5" customHeight="1">
      <c r="B15" s="39">
        <f t="shared" si="0"/>
        <v>1.08</v>
      </c>
      <c r="C15" s="39"/>
      <c r="D15" s="40" t="s">
        <v>38</v>
      </c>
      <c r="E15" s="39"/>
      <c r="F15" s="39"/>
      <c r="G15" s="39"/>
      <c r="H15" s="40"/>
      <c r="I15" s="50" t="s">
        <v>31</v>
      </c>
      <c r="K15" s="50" t="s">
        <v>31</v>
      </c>
      <c r="L15" s="50" t="s">
        <v>31</v>
      </c>
    </row>
    <row r="16" spans="2:12" ht="30" customHeight="1">
      <c r="B16" s="39">
        <f t="shared" si="0"/>
        <v>1.0900000000000001</v>
      </c>
      <c r="C16" s="39"/>
      <c r="D16" s="40" t="s">
        <v>39</v>
      </c>
      <c r="E16" s="39"/>
      <c r="F16" s="39"/>
      <c r="G16" s="39"/>
      <c r="H16" s="40"/>
      <c r="I16" s="50" t="s">
        <v>31</v>
      </c>
      <c r="K16" s="50" t="s">
        <v>31</v>
      </c>
      <c r="L16" s="50" t="s">
        <v>31</v>
      </c>
    </row>
    <row r="17" spans="2:12" ht="42.75" customHeight="1">
      <c r="B17" s="39">
        <f t="shared" si="0"/>
        <v>1.1000000000000001</v>
      </c>
      <c r="C17" s="39"/>
      <c r="D17" s="40" t="s">
        <v>40</v>
      </c>
      <c r="E17" s="39"/>
      <c r="F17" s="39"/>
      <c r="G17" s="39"/>
      <c r="H17" s="40"/>
      <c r="I17" s="50" t="s">
        <v>31</v>
      </c>
      <c r="K17" s="50" t="s">
        <v>31</v>
      </c>
      <c r="L17" s="50" t="s">
        <v>31</v>
      </c>
    </row>
    <row r="18" spans="2:12" ht="86.45" customHeight="1">
      <c r="B18" s="39">
        <f t="shared" si="0"/>
        <v>1.1100000000000001</v>
      </c>
      <c r="C18" s="39"/>
      <c r="D18" s="40" t="s">
        <v>41</v>
      </c>
      <c r="E18" s="39"/>
      <c r="F18" s="39"/>
      <c r="G18" s="39"/>
      <c r="H18" s="40"/>
      <c r="I18" s="50" t="s">
        <v>31</v>
      </c>
      <c r="K18" s="50" t="s">
        <v>31</v>
      </c>
      <c r="L18" s="50" t="s">
        <v>31</v>
      </c>
    </row>
    <row r="19" spans="2:12" ht="65.25" customHeight="1">
      <c r="B19" s="39">
        <f t="shared" si="0"/>
        <v>1.1200000000000001</v>
      </c>
      <c r="C19" s="39"/>
      <c r="D19" s="40" t="s">
        <v>42</v>
      </c>
      <c r="E19" s="39"/>
      <c r="F19" s="39"/>
      <c r="G19" s="39"/>
      <c r="H19" s="40"/>
      <c r="I19" s="50" t="s">
        <v>31</v>
      </c>
      <c r="K19" s="50" t="s">
        <v>31</v>
      </c>
      <c r="L19" s="50" t="s">
        <v>31</v>
      </c>
    </row>
    <row r="20" spans="2:12" ht="30" customHeight="1">
      <c r="B20" s="39">
        <f t="shared" si="0"/>
        <v>1.1299999999999999</v>
      </c>
      <c r="C20" s="39"/>
      <c r="D20" s="40" t="s">
        <v>43</v>
      </c>
      <c r="E20" s="39"/>
      <c r="F20" s="39"/>
      <c r="G20" s="39"/>
      <c r="H20" s="40"/>
      <c r="I20" s="50" t="s">
        <v>31</v>
      </c>
      <c r="K20" s="50" t="s">
        <v>31</v>
      </c>
      <c r="L20" s="50" t="s">
        <v>31</v>
      </c>
    </row>
    <row r="21" spans="2:12" ht="53.25" customHeight="1">
      <c r="B21" s="39">
        <f t="shared" si="0"/>
        <v>1.1400000000000001</v>
      </c>
      <c r="C21" s="39"/>
      <c r="D21" s="40" t="s">
        <v>44</v>
      </c>
      <c r="E21" s="39"/>
      <c r="F21" s="39"/>
      <c r="G21" s="39"/>
      <c r="H21" s="40"/>
      <c r="I21" s="50" t="s">
        <v>31</v>
      </c>
      <c r="K21" s="50" t="s">
        <v>31</v>
      </c>
      <c r="L21" s="50" t="s">
        <v>31</v>
      </c>
    </row>
    <row r="22" spans="2:12" ht="45" customHeight="1">
      <c r="B22" s="39">
        <f t="shared" si="0"/>
        <v>1.1499999999999999</v>
      </c>
      <c r="C22" s="39"/>
      <c r="D22" s="40" t="s">
        <v>45</v>
      </c>
      <c r="E22" s="39"/>
      <c r="F22" s="39"/>
      <c r="G22" s="39"/>
      <c r="H22" s="40"/>
      <c r="I22" s="50" t="s">
        <v>31</v>
      </c>
      <c r="K22" s="50" t="s">
        <v>31</v>
      </c>
      <c r="L22" s="50" t="s">
        <v>31</v>
      </c>
    </row>
    <row r="23" spans="2:12" ht="79.900000000000006" customHeight="1">
      <c r="B23" s="39">
        <f t="shared" si="0"/>
        <v>1.1599999999999999</v>
      </c>
      <c r="C23" s="39"/>
      <c r="D23" s="40" t="s">
        <v>46</v>
      </c>
      <c r="E23" s="39"/>
      <c r="F23" s="39"/>
      <c r="G23" s="39"/>
      <c r="H23" s="40"/>
      <c r="I23" s="50" t="s">
        <v>31</v>
      </c>
      <c r="K23" s="50" t="s">
        <v>31</v>
      </c>
      <c r="L23" s="50" t="s">
        <v>31</v>
      </c>
    </row>
    <row r="24" spans="2:12" ht="60" customHeight="1">
      <c r="B24" s="39">
        <f t="shared" si="0"/>
        <v>1.17</v>
      </c>
      <c r="C24" s="39"/>
      <c r="D24" s="40" t="s">
        <v>47</v>
      </c>
      <c r="E24" s="39"/>
      <c r="F24" s="39"/>
      <c r="G24" s="39"/>
      <c r="H24" s="40"/>
      <c r="I24" s="50" t="s">
        <v>31</v>
      </c>
      <c r="K24" s="50" t="s">
        <v>31</v>
      </c>
      <c r="L24" s="50" t="s">
        <v>31</v>
      </c>
    </row>
    <row r="25" spans="2:12" ht="30" customHeight="1">
      <c r="B25" s="39">
        <f t="shared" si="0"/>
        <v>1.18</v>
      </c>
      <c r="C25" s="39"/>
      <c r="D25" s="40" t="s">
        <v>48</v>
      </c>
      <c r="E25" s="39"/>
      <c r="F25" s="39"/>
      <c r="G25" s="39"/>
      <c r="H25" s="40"/>
      <c r="I25" s="50" t="s">
        <v>31</v>
      </c>
      <c r="K25" s="50" t="s">
        <v>31</v>
      </c>
      <c r="L25" s="50" t="s">
        <v>31</v>
      </c>
    </row>
    <row r="26" spans="2:12" ht="52.15" customHeight="1">
      <c r="B26" s="39">
        <f t="shared" si="0"/>
        <v>1.19</v>
      </c>
      <c r="C26" s="39"/>
      <c r="D26" s="40" t="s">
        <v>49</v>
      </c>
      <c r="E26" s="39"/>
      <c r="F26" s="39"/>
      <c r="G26" s="39"/>
      <c r="H26" s="40"/>
      <c r="I26" s="50" t="s">
        <v>31</v>
      </c>
      <c r="K26" s="50" t="s">
        <v>31</v>
      </c>
      <c r="L26" s="50" t="s">
        <v>31</v>
      </c>
    </row>
  </sheetData>
  <mergeCells count="4">
    <mergeCell ref="B1:C1"/>
    <mergeCell ref="B2:C2"/>
    <mergeCell ref="B3:C3"/>
    <mergeCell ref="G5:G6"/>
  </mergeCells>
  <conditionalFormatting sqref="I8:I26">
    <cfRule type="expression" dxfId="92" priority="7" stopIfTrue="1">
      <formula>RIGHT(I8,14)="partly pending"</formula>
    </cfRule>
    <cfRule type="expression" dxfId="91" priority="8" stopIfTrue="1">
      <formula>RIGHT(I8,8)="received"</formula>
    </cfRule>
    <cfRule type="expression" dxfId="90" priority="9" stopIfTrue="1">
      <formula>RIGHT(I8,4)="open"</formula>
    </cfRule>
  </conditionalFormatting>
  <conditionalFormatting sqref="K8:K26">
    <cfRule type="expression" dxfId="89" priority="4" stopIfTrue="1">
      <formula>RIGHT(K8,14)="partly pending"</formula>
    </cfRule>
    <cfRule type="expression" dxfId="88" priority="5" stopIfTrue="1">
      <formula>RIGHT(K8,8)="received"</formula>
    </cfRule>
    <cfRule type="expression" dxfId="87" priority="6" stopIfTrue="1">
      <formula>RIGHT(K8,4)="open"</formula>
    </cfRule>
  </conditionalFormatting>
  <conditionalFormatting sqref="L8:L26">
    <cfRule type="expression" dxfId="86" priority="1" stopIfTrue="1">
      <formula>RIGHT(L8,14)="partly pending"</formula>
    </cfRule>
    <cfRule type="expression" dxfId="85" priority="2" stopIfTrue="1">
      <formula>RIGHT(L8,8)="received"</formula>
    </cfRule>
    <cfRule type="expression" dxfId="84" priority="3" stopIfTrue="1">
      <formula>RIGHT(L8,4)="open"</formula>
    </cfRule>
  </conditionalFormatting>
  <dataValidations count="2">
    <dataValidation type="list" allowBlank="1" sqref="I8:I26 K8:L26" xr:uid="{30229C84-1D2D-4C76-8137-73C5E77AD8AE}">
      <formula1>Categories</formula1>
    </dataValidation>
    <dataValidation type="textLength" allowBlank="1" showInputMessage="1" showErrorMessage="1" sqref="D26 D10:D12 D19:D23" xr:uid="{5E3D1227-5E5F-41FA-B1BE-EA20DA79798A}">
      <formula1>0</formula1>
      <formula2>256</formula2>
    </dataValidation>
  </dataValidations>
  <pageMargins left="0.74803149606299213" right="0.19685039370078741" top="0.51181102362204722" bottom="0.8" header="0.51181102362204722" footer="0.51"/>
  <pageSetup paperSize="9" fitToHeight="5" orientation="landscape" r:id="rId1"/>
  <headerFooter alignWithMargins="0">
    <oddFooter>&amp;RPage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DA8E-9979-4C9D-8949-38C1D3013545}">
  <dimension ref="B1:M22"/>
  <sheetViews>
    <sheetView showGridLines="0" tabSelected="1" topLeftCell="A12" zoomScale="119" zoomScaleNormal="130" workbookViewId="0">
      <selection activeCell="D19" sqref="D19:I19"/>
    </sheetView>
  </sheetViews>
  <sheetFormatPr defaultColWidth="9.28515625" defaultRowHeight="11.45" outlineLevelCol="1"/>
  <cols>
    <col min="1" max="1" width="2.5703125" style="28" customWidth="1"/>
    <col min="2" max="2" width="5.5703125" style="28" customWidth="1"/>
    <col min="3" max="3" width="9.140625" style="28" customWidth="1"/>
    <col min="4" max="4" width="45.7109375" style="28" customWidth="1"/>
    <col min="5" max="5" width="9.28515625" style="28" hidden="1" customWidth="1" outlineLevel="1"/>
    <col min="6" max="6" width="9" style="28" hidden="1" customWidth="1" outlineLevel="1"/>
    <col min="7" max="7" width="14.5703125" style="25" customWidth="1" collapsed="1"/>
    <col min="8" max="8" width="40.7109375" style="32" customWidth="1"/>
    <col min="9" max="9" width="10.5703125" style="48" bestFit="1" customWidth="1"/>
    <col min="10" max="10" width="1.7109375" style="28" customWidth="1"/>
    <col min="11" max="12" width="10.5703125" style="48" hidden="1" customWidth="1" outlineLevel="1"/>
    <col min="13" max="13" width="9.28515625" style="28" collapsed="1"/>
    <col min="14" max="16384" width="9.28515625" style="28"/>
  </cols>
  <sheetData>
    <row r="1" spans="2:12" ht="24.75" customHeight="1">
      <c r="B1" s="67"/>
      <c r="C1" s="67"/>
      <c r="D1" s="22" t="str">
        <f>+Header!A3</f>
        <v>Checkliste</v>
      </c>
      <c r="E1" s="23"/>
      <c r="F1" s="24"/>
      <c r="H1" s="26" t="s">
        <v>15</v>
      </c>
      <c r="I1" s="52">
        <f>+Header!A17</f>
        <v>44552</v>
      </c>
      <c r="K1" s="52"/>
      <c r="L1" s="52"/>
    </row>
    <row r="2" spans="2:12" ht="15.75" customHeight="1">
      <c r="B2" s="67" t="s">
        <v>1</v>
      </c>
      <c r="C2" s="67"/>
      <c r="D2" s="7" t="str">
        <f>+Header!B4</f>
        <v>PEGASUS</v>
      </c>
      <c r="E2" s="23"/>
      <c r="F2" s="24"/>
      <c r="G2" s="24"/>
      <c r="H2" s="22"/>
      <c r="I2" s="46"/>
      <c r="K2" s="46"/>
      <c r="L2" s="46"/>
    </row>
    <row r="3" spans="2:12" ht="15.6">
      <c r="B3" s="68" t="s">
        <v>50</v>
      </c>
      <c r="C3" s="68"/>
      <c r="D3" s="29" t="s">
        <v>51</v>
      </c>
      <c r="E3" s="29"/>
      <c r="F3" s="30"/>
      <c r="G3" s="30"/>
      <c r="H3" s="31"/>
      <c r="I3" s="47"/>
      <c r="K3" s="47"/>
      <c r="L3" s="47"/>
    </row>
    <row r="5" spans="2:12" ht="26.45" customHeight="1">
      <c r="B5" s="34" t="s">
        <v>19</v>
      </c>
      <c r="C5" s="35" t="s">
        <v>20</v>
      </c>
      <c r="D5" s="35" t="s">
        <v>21</v>
      </c>
      <c r="E5" s="35" t="s">
        <v>22</v>
      </c>
      <c r="F5" s="35" t="s">
        <v>23</v>
      </c>
      <c r="G5" s="69" t="s">
        <v>24</v>
      </c>
      <c r="H5" s="35" t="s">
        <v>25</v>
      </c>
      <c r="I5" s="51" t="s">
        <v>26</v>
      </c>
      <c r="K5" s="51" t="s">
        <v>27</v>
      </c>
      <c r="L5" s="51" t="s">
        <v>28</v>
      </c>
    </row>
    <row r="6" spans="2:12" ht="13.15">
      <c r="B6" s="36"/>
      <c r="C6" s="37"/>
      <c r="D6" s="38"/>
      <c r="E6" s="37" t="s">
        <v>29</v>
      </c>
      <c r="F6" s="37" t="s">
        <v>29</v>
      </c>
      <c r="G6" s="70"/>
      <c r="H6" s="37"/>
      <c r="I6" s="49"/>
      <c r="K6" s="49"/>
      <c r="L6" s="49"/>
    </row>
    <row r="7" spans="2:12">
      <c r="H7" s="25"/>
    </row>
    <row r="8" spans="2:12" ht="52.9">
      <c r="B8" s="39">
        <f t="shared" ref="B8:B22" si="0">1+(ROW(B8)-7)/100</f>
        <v>1.01</v>
      </c>
      <c r="C8" s="39"/>
      <c r="D8" s="40" t="s">
        <v>52</v>
      </c>
      <c r="E8" s="39"/>
      <c r="F8" s="39"/>
      <c r="G8" s="39"/>
      <c r="H8" s="40"/>
      <c r="I8" s="50" t="s">
        <v>31</v>
      </c>
      <c r="K8" s="50" t="s">
        <v>31</v>
      </c>
      <c r="L8" s="50" t="s">
        <v>31</v>
      </c>
    </row>
    <row r="9" spans="2:12" ht="39.6">
      <c r="B9" s="39">
        <f t="shared" si="0"/>
        <v>1.02</v>
      </c>
      <c r="C9" s="39"/>
      <c r="D9" s="40" t="s">
        <v>53</v>
      </c>
      <c r="E9" s="39"/>
      <c r="F9" s="39"/>
      <c r="G9" s="39"/>
      <c r="H9" s="40"/>
      <c r="I9" s="50" t="s">
        <v>31</v>
      </c>
      <c r="K9" s="50" t="s">
        <v>31</v>
      </c>
      <c r="L9" s="50" t="s">
        <v>31</v>
      </c>
    </row>
    <row r="10" spans="2:12" ht="26.45">
      <c r="B10" s="39">
        <f t="shared" si="0"/>
        <v>1.03</v>
      </c>
      <c r="C10" s="39"/>
      <c r="D10" s="40" t="s">
        <v>54</v>
      </c>
      <c r="E10" s="39"/>
      <c r="F10" s="39"/>
      <c r="G10" s="39"/>
      <c r="H10" s="40"/>
      <c r="I10" s="50" t="s">
        <v>31</v>
      </c>
      <c r="K10" s="50" t="s">
        <v>31</v>
      </c>
      <c r="L10" s="50" t="s">
        <v>31</v>
      </c>
    </row>
    <row r="11" spans="2:12" ht="39.6">
      <c r="B11" s="39">
        <f t="shared" si="0"/>
        <v>1.04</v>
      </c>
      <c r="C11" s="39"/>
      <c r="D11" s="40" t="s">
        <v>55</v>
      </c>
      <c r="E11" s="39"/>
      <c r="F11" s="39"/>
      <c r="G11" s="39"/>
      <c r="H11" s="40"/>
      <c r="I11" s="50" t="s">
        <v>31</v>
      </c>
      <c r="K11" s="50" t="s">
        <v>31</v>
      </c>
      <c r="L11" s="50" t="s">
        <v>31</v>
      </c>
    </row>
    <row r="12" spans="2:12" ht="26.45">
      <c r="B12" s="39">
        <f t="shared" si="0"/>
        <v>1.05</v>
      </c>
      <c r="C12" s="39"/>
      <c r="D12" s="40" t="s">
        <v>56</v>
      </c>
      <c r="E12" s="39"/>
      <c r="F12" s="39"/>
      <c r="G12" s="39"/>
      <c r="H12" s="40"/>
      <c r="I12" s="50" t="s">
        <v>31</v>
      </c>
      <c r="K12" s="50" t="s">
        <v>31</v>
      </c>
      <c r="L12" s="50" t="s">
        <v>31</v>
      </c>
    </row>
    <row r="13" spans="2:12" ht="39.6">
      <c r="B13" s="39">
        <f t="shared" si="0"/>
        <v>1.06</v>
      </c>
      <c r="C13" s="39"/>
      <c r="D13" s="40" t="s">
        <v>57</v>
      </c>
      <c r="E13" s="39"/>
      <c r="F13" s="39"/>
      <c r="G13" s="39"/>
      <c r="H13" s="40"/>
      <c r="I13" s="50" t="s">
        <v>31</v>
      </c>
      <c r="K13" s="50" t="s">
        <v>31</v>
      </c>
      <c r="L13" s="50" t="s">
        <v>31</v>
      </c>
    </row>
    <row r="14" spans="2:12" ht="26.45">
      <c r="B14" s="39">
        <f t="shared" si="0"/>
        <v>1.07</v>
      </c>
      <c r="C14" s="39"/>
      <c r="D14" s="40" t="s">
        <v>58</v>
      </c>
      <c r="E14" s="39"/>
      <c r="F14" s="39"/>
      <c r="G14" s="39"/>
      <c r="H14" s="40"/>
      <c r="I14" s="50" t="s">
        <v>31</v>
      </c>
      <c r="K14" s="50" t="s">
        <v>31</v>
      </c>
      <c r="L14" s="50" t="s">
        <v>31</v>
      </c>
    </row>
    <row r="15" spans="2:12" ht="26.45">
      <c r="B15" s="39">
        <f t="shared" si="0"/>
        <v>1.08</v>
      </c>
      <c r="C15" s="39"/>
      <c r="D15" s="40" t="s">
        <v>59</v>
      </c>
      <c r="E15" s="39"/>
      <c r="F15" s="39"/>
      <c r="G15" s="39"/>
      <c r="H15" s="40"/>
      <c r="I15" s="50" t="s">
        <v>31</v>
      </c>
      <c r="K15" s="50" t="s">
        <v>31</v>
      </c>
      <c r="L15" s="50" t="s">
        <v>31</v>
      </c>
    </row>
    <row r="16" spans="2:12" ht="13.15">
      <c r="B16" s="39">
        <f t="shared" si="0"/>
        <v>1.0900000000000001</v>
      </c>
      <c r="C16" s="39"/>
      <c r="D16" s="40" t="s">
        <v>60</v>
      </c>
      <c r="E16" s="39"/>
      <c r="F16" s="39"/>
      <c r="G16" s="39"/>
      <c r="H16" s="40"/>
      <c r="I16" s="50" t="s">
        <v>31</v>
      </c>
      <c r="K16" s="50" t="s">
        <v>31</v>
      </c>
      <c r="L16" s="50" t="s">
        <v>31</v>
      </c>
    </row>
    <row r="17" spans="2:12" ht="39.6">
      <c r="B17" s="39">
        <f t="shared" si="0"/>
        <v>1.1000000000000001</v>
      </c>
      <c r="C17" s="39"/>
      <c r="D17" s="40" t="s">
        <v>61</v>
      </c>
      <c r="E17" s="39"/>
      <c r="F17" s="39"/>
      <c r="G17" s="39"/>
      <c r="H17" s="40"/>
      <c r="I17" s="50" t="s">
        <v>31</v>
      </c>
      <c r="K17" s="50" t="s">
        <v>31</v>
      </c>
      <c r="L17" s="50" t="s">
        <v>31</v>
      </c>
    </row>
    <row r="18" spans="2:12" ht="39.6">
      <c r="B18" s="39">
        <f t="shared" si="0"/>
        <v>1.1100000000000001</v>
      </c>
      <c r="C18" s="39"/>
      <c r="D18" s="40" t="s">
        <v>62</v>
      </c>
      <c r="E18" s="39"/>
      <c r="F18" s="39"/>
      <c r="G18" s="39"/>
      <c r="H18" s="40"/>
      <c r="I18" s="50" t="s">
        <v>31</v>
      </c>
      <c r="K18" s="50" t="s">
        <v>31</v>
      </c>
      <c r="L18" s="50" t="s">
        <v>31</v>
      </c>
    </row>
    <row r="19" spans="2:12" ht="26.45">
      <c r="B19" s="39">
        <f t="shared" si="0"/>
        <v>1.1200000000000001</v>
      </c>
      <c r="C19" s="39"/>
      <c r="D19" s="40" t="s">
        <v>63</v>
      </c>
      <c r="E19" s="39"/>
      <c r="F19" s="39"/>
      <c r="G19" s="39"/>
      <c r="H19" s="40"/>
      <c r="I19" s="50" t="s">
        <v>31</v>
      </c>
      <c r="K19" s="50" t="s">
        <v>31</v>
      </c>
      <c r="L19" s="50" t="s">
        <v>31</v>
      </c>
    </row>
    <row r="20" spans="2:12" ht="39.6">
      <c r="B20" s="39">
        <f t="shared" si="0"/>
        <v>1.1299999999999999</v>
      </c>
      <c r="C20" s="39"/>
      <c r="D20" s="40" t="s">
        <v>64</v>
      </c>
      <c r="E20" s="39"/>
      <c r="F20" s="39"/>
      <c r="G20" s="39"/>
      <c r="H20" s="40"/>
      <c r="I20" s="50" t="s">
        <v>31</v>
      </c>
      <c r="K20" s="50" t="s">
        <v>31</v>
      </c>
      <c r="L20" s="50" t="s">
        <v>31</v>
      </c>
    </row>
    <row r="21" spans="2:12" ht="39.6">
      <c r="B21" s="39">
        <f t="shared" si="0"/>
        <v>1.1400000000000001</v>
      </c>
      <c r="C21" s="39"/>
      <c r="D21" s="40" t="s">
        <v>65</v>
      </c>
      <c r="E21" s="39"/>
      <c r="F21" s="39"/>
      <c r="G21" s="39"/>
      <c r="H21" s="40"/>
      <c r="I21" s="50" t="s">
        <v>31</v>
      </c>
      <c r="K21" s="50" t="s">
        <v>31</v>
      </c>
      <c r="L21" s="50" t="s">
        <v>31</v>
      </c>
    </row>
    <row r="22" spans="2:12" ht="39.6">
      <c r="B22" s="39">
        <f t="shared" si="0"/>
        <v>1.1499999999999999</v>
      </c>
      <c r="C22" s="39"/>
      <c r="D22" s="40" t="s">
        <v>66</v>
      </c>
      <c r="E22" s="39"/>
      <c r="F22" s="39"/>
      <c r="G22" s="39"/>
      <c r="H22" s="40"/>
      <c r="I22" s="50" t="s">
        <v>31</v>
      </c>
      <c r="K22" s="50" t="s">
        <v>31</v>
      </c>
      <c r="L22" s="50" t="s">
        <v>31</v>
      </c>
    </row>
  </sheetData>
  <mergeCells count="4">
    <mergeCell ref="B1:C1"/>
    <mergeCell ref="B2:C2"/>
    <mergeCell ref="B3:C3"/>
    <mergeCell ref="G5:G6"/>
  </mergeCells>
  <conditionalFormatting sqref="I8:I22">
    <cfRule type="expression" dxfId="83" priority="5" stopIfTrue="1">
      <formula>RIGHT(I8,14)="partly pending"</formula>
    </cfRule>
    <cfRule type="expression" dxfId="82" priority="6" stopIfTrue="1">
      <formula>RIGHT(I8,8)="received"</formula>
    </cfRule>
    <cfRule type="expression" dxfId="81" priority="7" stopIfTrue="1">
      <formula>RIGHT(I8,4)="open"</formula>
    </cfRule>
  </conditionalFormatting>
  <conditionalFormatting sqref="K8:L22">
    <cfRule type="expression" dxfId="80" priority="1" stopIfTrue="1">
      <formula>RIGHT(K8,14)="partly pending"</formula>
    </cfRule>
    <cfRule type="expression" dxfId="79" priority="2" stopIfTrue="1">
      <formula>RIGHT(K8,8)="received"</formula>
    </cfRule>
    <cfRule type="expression" dxfId="78" priority="3" stopIfTrue="1">
      <formula>RIGHT(K8,4)="open"</formula>
    </cfRule>
  </conditionalFormatting>
  <dataValidations count="2">
    <dataValidation type="list" allowBlank="1" sqref="I8:I22 K8:L22" xr:uid="{E7F3C7C6-F457-4EB5-9180-4AE6429B0804}">
      <formula1>Categories</formula1>
    </dataValidation>
    <dataValidation type="textLength" allowBlank="1" showInputMessage="1" showErrorMessage="1" sqref="D9:D10 D20:D21 D12:D13" xr:uid="{1BE76177-8D4D-4017-8522-EF0ED9EF2D9A}">
      <formula1>0</formula1>
      <formula2>256</formula2>
    </dataValidation>
  </dataValidations>
  <pageMargins left="0.74803149606299213" right="0.19685039370078741" top="0.51181102362204722" bottom="0.8" header="0.51181102362204722" footer="0.51"/>
  <pageSetup paperSize="9" fitToHeight="5" orientation="landscape" r:id="rId1"/>
  <headerFooter alignWithMargins="0">
    <oddFooter>&amp;RPage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8215B-B2F3-4B9B-A533-8017CD1540AE}">
  <sheetPr>
    <pageSetUpPr fitToPage="1"/>
  </sheetPr>
  <dimension ref="B1:M28"/>
  <sheetViews>
    <sheetView showGridLines="0" topLeftCell="A4" zoomScaleNormal="100" workbookViewId="0">
      <selection activeCell="E5" sqref="E5"/>
    </sheetView>
  </sheetViews>
  <sheetFormatPr defaultColWidth="9.28515625" defaultRowHeight="11.45" outlineLevelCol="1"/>
  <cols>
    <col min="1" max="1" width="2.5703125" style="28" customWidth="1"/>
    <col min="2" max="2" width="5.5703125" style="28" customWidth="1"/>
    <col min="3" max="3" width="7.7109375" style="28" customWidth="1"/>
    <col min="4" max="4" width="45.7109375" style="28" customWidth="1"/>
    <col min="5" max="5" width="10" style="25" hidden="1" customWidth="1" outlineLevel="1"/>
    <col min="6" max="6" width="7.85546875" style="25" hidden="1" customWidth="1" outlineLevel="1"/>
    <col min="7" max="7" width="14.140625" style="25" bestFit="1" customWidth="1" collapsed="1"/>
    <col min="8" max="8" width="40.7109375" style="32" customWidth="1"/>
    <col min="9" max="9" width="10.5703125" style="48" bestFit="1" customWidth="1"/>
    <col min="10" max="10" width="1.7109375" style="28" customWidth="1"/>
    <col min="11" max="11" width="9.28515625" style="48" hidden="1" customWidth="1" outlineLevel="1"/>
    <col min="12" max="12" width="9.28515625" style="28" hidden="1" customWidth="1" outlineLevel="1"/>
    <col min="13" max="13" width="9.28515625" style="28" collapsed="1"/>
    <col min="14" max="16384" width="9.28515625" style="28"/>
  </cols>
  <sheetData>
    <row r="1" spans="2:12" ht="24.75" customHeight="1">
      <c r="B1" s="67"/>
      <c r="C1" s="67"/>
      <c r="D1" s="22" t="str">
        <f>+Header!A3</f>
        <v>Checkliste</v>
      </c>
      <c r="E1" s="23"/>
      <c r="H1" s="26" t="str">
        <f>+[2]Header!$A$16</f>
        <v>Updated:</v>
      </c>
      <c r="I1" s="52">
        <f>[2]Header!A17</f>
        <v>40808</v>
      </c>
    </row>
    <row r="2" spans="2:12" ht="15.75" customHeight="1">
      <c r="B2" s="67" t="s">
        <v>67</v>
      </c>
      <c r="C2" s="67"/>
      <c r="D2" s="7" t="str">
        <f>+Header!B4</f>
        <v>PEGASUS</v>
      </c>
      <c r="E2" s="23"/>
      <c r="F2" s="24"/>
      <c r="G2" s="24"/>
      <c r="H2" s="22"/>
      <c r="I2" s="46"/>
    </row>
    <row r="3" spans="2:12" ht="15" customHeight="1">
      <c r="B3" s="68" t="s">
        <v>50</v>
      </c>
      <c r="C3" s="68"/>
      <c r="D3" s="29" t="s">
        <v>68</v>
      </c>
      <c r="E3" s="29"/>
      <c r="F3" s="30"/>
      <c r="G3" s="30"/>
      <c r="H3" s="31"/>
      <c r="I3" s="47"/>
    </row>
    <row r="4" spans="2:12" ht="12">
      <c r="K4" s="33"/>
    </row>
    <row r="5" spans="2:12" ht="26.45">
      <c r="B5" s="34" t="s">
        <v>19</v>
      </c>
      <c r="C5" s="35" t="s">
        <v>20</v>
      </c>
      <c r="D5" s="35" t="s">
        <v>21</v>
      </c>
      <c r="E5" s="35" t="s">
        <v>22</v>
      </c>
      <c r="F5" s="35" t="s">
        <v>23</v>
      </c>
      <c r="G5" s="69" t="s">
        <v>24</v>
      </c>
      <c r="H5" s="35" t="s">
        <v>25</v>
      </c>
      <c r="I5" s="51" t="s">
        <v>26</v>
      </c>
      <c r="K5" s="51" t="s">
        <v>27</v>
      </c>
      <c r="L5" s="51" t="s">
        <v>28</v>
      </c>
    </row>
    <row r="6" spans="2:12" ht="13.15">
      <c r="B6" s="36"/>
      <c r="C6" s="37"/>
      <c r="D6" s="38"/>
      <c r="E6" s="37" t="s">
        <v>29</v>
      </c>
      <c r="F6" s="37" t="s">
        <v>29</v>
      </c>
      <c r="G6" s="70"/>
      <c r="H6" s="37"/>
      <c r="I6" s="49"/>
      <c r="K6" s="49"/>
      <c r="L6" s="49"/>
    </row>
    <row r="7" spans="2:12">
      <c r="D7" s="25"/>
      <c r="H7" s="25"/>
    </row>
    <row r="8" spans="2:12" ht="58.9" customHeight="1">
      <c r="B8" s="39">
        <f t="shared" ref="B8:B26" si="0">2+(ROW(B8)-7)/100</f>
        <v>2.0099999999999998</v>
      </c>
      <c r="C8" s="39"/>
      <c r="D8" s="40" t="s">
        <v>69</v>
      </c>
      <c r="E8" s="39"/>
      <c r="F8" s="39"/>
      <c r="G8" s="39"/>
      <c r="H8" s="40"/>
      <c r="I8" s="50" t="s">
        <v>31</v>
      </c>
      <c r="K8" s="50" t="s">
        <v>31</v>
      </c>
      <c r="L8" s="50" t="s">
        <v>31</v>
      </c>
    </row>
    <row r="9" spans="2:12" ht="30" customHeight="1">
      <c r="B9" s="39">
        <f t="shared" si="0"/>
        <v>2.02</v>
      </c>
      <c r="C9" s="39"/>
      <c r="D9" s="40" t="s">
        <v>70</v>
      </c>
      <c r="E9" s="39"/>
      <c r="F9" s="39"/>
      <c r="G9" s="39"/>
      <c r="H9" s="40"/>
      <c r="I9" s="50" t="s">
        <v>31</v>
      </c>
      <c r="K9" s="50" t="s">
        <v>31</v>
      </c>
      <c r="L9" s="50" t="s">
        <v>31</v>
      </c>
    </row>
    <row r="10" spans="2:12" ht="43.5" customHeight="1">
      <c r="B10" s="39">
        <f t="shared" si="0"/>
        <v>2.0299999999999998</v>
      </c>
      <c r="C10" s="39"/>
      <c r="D10" s="40" t="s">
        <v>71</v>
      </c>
      <c r="E10" s="39"/>
      <c r="F10" s="39"/>
      <c r="G10" s="39"/>
      <c r="H10" s="40"/>
      <c r="I10" s="50" t="s">
        <v>31</v>
      </c>
      <c r="K10" s="50" t="s">
        <v>31</v>
      </c>
      <c r="L10" s="50" t="s">
        <v>31</v>
      </c>
    </row>
    <row r="11" spans="2:12" ht="40.5" customHeight="1">
      <c r="B11" s="39">
        <f t="shared" si="0"/>
        <v>2.04</v>
      </c>
      <c r="C11" s="39"/>
      <c r="D11" s="40" t="s">
        <v>72</v>
      </c>
      <c r="E11" s="39"/>
      <c r="F11" s="39"/>
      <c r="G11" s="39"/>
      <c r="H11" s="40"/>
      <c r="I11" s="50" t="s">
        <v>31</v>
      </c>
      <c r="K11" s="50" t="s">
        <v>31</v>
      </c>
      <c r="L11" s="50" t="s">
        <v>31</v>
      </c>
    </row>
    <row r="12" spans="2:12" ht="39.6">
      <c r="B12" s="39">
        <f t="shared" si="0"/>
        <v>2.0499999999999998</v>
      </c>
      <c r="C12" s="39"/>
      <c r="D12" s="40" t="s">
        <v>73</v>
      </c>
      <c r="E12" s="39"/>
      <c r="F12" s="39"/>
      <c r="G12" s="39"/>
      <c r="H12" s="40"/>
      <c r="I12" s="50" t="s">
        <v>31</v>
      </c>
      <c r="K12" s="50" t="s">
        <v>31</v>
      </c>
      <c r="L12" s="50" t="s">
        <v>31</v>
      </c>
    </row>
    <row r="13" spans="2:12" ht="52.9">
      <c r="B13" s="39">
        <f t="shared" si="0"/>
        <v>2.06</v>
      </c>
      <c r="C13" s="39"/>
      <c r="D13" s="40" t="s">
        <v>74</v>
      </c>
      <c r="E13" s="39"/>
      <c r="F13" s="39"/>
      <c r="G13" s="39"/>
      <c r="H13" s="40"/>
      <c r="I13" s="50" t="s">
        <v>31</v>
      </c>
      <c r="K13" s="50" t="s">
        <v>31</v>
      </c>
      <c r="L13" s="50" t="s">
        <v>31</v>
      </c>
    </row>
    <row r="14" spans="2:12" ht="39.6">
      <c r="B14" s="39">
        <f t="shared" si="0"/>
        <v>2.0699999999999998</v>
      </c>
      <c r="C14" s="39"/>
      <c r="D14" s="40" t="s">
        <v>75</v>
      </c>
      <c r="E14" s="39"/>
      <c r="F14" s="39"/>
      <c r="G14" s="39"/>
      <c r="H14" s="40"/>
      <c r="I14" s="50" t="s">
        <v>31</v>
      </c>
      <c r="K14" s="50" t="s">
        <v>31</v>
      </c>
      <c r="L14" s="50" t="s">
        <v>31</v>
      </c>
    </row>
    <row r="15" spans="2:12" ht="30" customHeight="1">
      <c r="B15" s="39">
        <f t="shared" si="0"/>
        <v>2.08</v>
      </c>
      <c r="C15" s="39"/>
      <c r="D15" s="40" t="s">
        <v>76</v>
      </c>
      <c r="E15" s="39"/>
      <c r="F15" s="39"/>
      <c r="G15" s="39"/>
      <c r="H15" s="40"/>
      <c r="I15" s="50" t="s">
        <v>31</v>
      </c>
      <c r="K15" s="50" t="s">
        <v>31</v>
      </c>
      <c r="L15" s="50" t="s">
        <v>31</v>
      </c>
    </row>
    <row r="16" spans="2:12" ht="40.5" customHeight="1">
      <c r="B16" s="39">
        <f t="shared" si="0"/>
        <v>2.09</v>
      </c>
      <c r="C16" s="39"/>
      <c r="D16" s="40" t="s">
        <v>77</v>
      </c>
      <c r="E16" s="39"/>
      <c r="F16" s="39"/>
      <c r="G16" s="39"/>
      <c r="H16" s="40"/>
      <c r="I16" s="50" t="s">
        <v>31</v>
      </c>
      <c r="K16" s="50" t="s">
        <v>31</v>
      </c>
      <c r="L16" s="50" t="s">
        <v>31</v>
      </c>
    </row>
    <row r="17" spans="2:12" ht="39.6">
      <c r="B17" s="39">
        <f t="shared" si="0"/>
        <v>2.1</v>
      </c>
      <c r="C17" s="39"/>
      <c r="D17" s="40" t="s">
        <v>78</v>
      </c>
      <c r="E17" s="39"/>
      <c r="F17" s="39"/>
      <c r="G17" s="39"/>
      <c r="H17" s="40"/>
      <c r="I17" s="50" t="s">
        <v>31</v>
      </c>
      <c r="K17" s="50" t="s">
        <v>31</v>
      </c>
      <c r="L17" s="50" t="s">
        <v>31</v>
      </c>
    </row>
    <row r="18" spans="2:12" ht="66.75" customHeight="1">
      <c r="B18" s="39">
        <f t="shared" si="0"/>
        <v>2.11</v>
      </c>
      <c r="C18" s="39"/>
      <c r="D18" s="40" t="s">
        <v>79</v>
      </c>
      <c r="E18" s="39"/>
      <c r="F18" s="39"/>
      <c r="G18" s="39"/>
      <c r="H18" s="40"/>
      <c r="I18" s="50" t="s">
        <v>31</v>
      </c>
      <c r="K18" s="50" t="s">
        <v>31</v>
      </c>
      <c r="L18" s="50" t="s">
        <v>31</v>
      </c>
    </row>
    <row r="19" spans="2:12" ht="39" customHeight="1">
      <c r="B19" s="39">
        <f t="shared" si="0"/>
        <v>2.12</v>
      </c>
      <c r="C19" s="39"/>
      <c r="D19" s="40" t="s">
        <v>80</v>
      </c>
      <c r="E19" s="39"/>
      <c r="F19" s="39"/>
      <c r="G19" s="39"/>
      <c r="H19" s="40"/>
      <c r="I19" s="50" t="s">
        <v>31</v>
      </c>
      <c r="K19" s="50" t="s">
        <v>31</v>
      </c>
      <c r="L19" s="50" t="s">
        <v>31</v>
      </c>
    </row>
    <row r="20" spans="2:12" ht="45" customHeight="1">
      <c r="B20" s="39">
        <f t="shared" si="0"/>
        <v>2.13</v>
      </c>
      <c r="C20" s="39"/>
      <c r="D20" s="40" t="s">
        <v>81</v>
      </c>
      <c r="E20" s="39"/>
      <c r="F20" s="39"/>
      <c r="G20" s="39"/>
      <c r="H20" s="40"/>
      <c r="I20" s="50" t="s">
        <v>31</v>
      </c>
      <c r="K20" s="50" t="s">
        <v>31</v>
      </c>
      <c r="L20" s="50" t="s">
        <v>31</v>
      </c>
    </row>
    <row r="21" spans="2:12" ht="51" customHeight="1">
      <c r="B21" s="39">
        <f t="shared" si="0"/>
        <v>2.14</v>
      </c>
      <c r="C21" s="39"/>
      <c r="D21" s="40" t="s">
        <v>82</v>
      </c>
      <c r="E21" s="39"/>
      <c r="F21" s="39"/>
      <c r="G21" s="39"/>
      <c r="H21" s="40"/>
      <c r="I21" s="50" t="s">
        <v>31</v>
      </c>
      <c r="K21" s="50" t="s">
        <v>31</v>
      </c>
      <c r="L21" s="50" t="s">
        <v>31</v>
      </c>
    </row>
    <row r="22" spans="2:12" ht="38.25" customHeight="1">
      <c r="B22" s="39">
        <f t="shared" si="0"/>
        <v>2.15</v>
      </c>
      <c r="C22" s="39"/>
      <c r="D22" s="40" t="s">
        <v>83</v>
      </c>
      <c r="E22" s="39"/>
      <c r="F22" s="39"/>
      <c r="G22" s="39"/>
      <c r="H22" s="40"/>
      <c r="I22" s="50" t="s">
        <v>31</v>
      </c>
      <c r="K22" s="50" t="s">
        <v>31</v>
      </c>
      <c r="L22" s="50" t="s">
        <v>31</v>
      </c>
    </row>
    <row r="23" spans="2:12" ht="30" customHeight="1">
      <c r="B23" s="39">
        <f t="shared" si="0"/>
        <v>2.16</v>
      </c>
      <c r="C23" s="39"/>
      <c r="D23" s="40" t="s">
        <v>84</v>
      </c>
      <c r="E23" s="39"/>
      <c r="F23" s="39"/>
      <c r="G23" s="39"/>
      <c r="H23" s="40"/>
      <c r="I23" s="50" t="s">
        <v>31</v>
      </c>
      <c r="K23" s="50" t="s">
        <v>31</v>
      </c>
      <c r="L23" s="50" t="s">
        <v>31</v>
      </c>
    </row>
    <row r="24" spans="2:12" ht="54" customHeight="1">
      <c r="B24" s="39">
        <f t="shared" si="0"/>
        <v>2.17</v>
      </c>
      <c r="C24" s="39"/>
      <c r="D24" s="40" t="s">
        <v>85</v>
      </c>
      <c r="E24" s="39"/>
      <c r="F24" s="39"/>
      <c r="G24" s="39"/>
      <c r="H24" s="40"/>
      <c r="I24" s="50" t="s">
        <v>31</v>
      </c>
      <c r="K24" s="50" t="s">
        <v>31</v>
      </c>
      <c r="L24" s="50" t="s">
        <v>31</v>
      </c>
    </row>
    <row r="25" spans="2:12" ht="30" customHeight="1">
      <c r="B25" s="39">
        <f t="shared" si="0"/>
        <v>2.1800000000000002</v>
      </c>
      <c r="C25" s="39"/>
      <c r="D25" s="40" t="s">
        <v>86</v>
      </c>
      <c r="E25" s="39"/>
      <c r="F25" s="39"/>
      <c r="G25" s="39"/>
      <c r="H25" s="40"/>
      <c r="I25" s="50" t="s">
        <v>31</v>
      </c>
      <c r="K25" s="50" t="s">
        <v>31</v>
      </c>
      <c r="L25" s="50" t="s">
        <v>31</v>
      </c>
    </row>
    <row r="26" spans="2:12" ht="51" customHeight="1">
      <c r="B26" s="39">
        <f t="shared" si="0"/>
        <v>2.19</v>
      </c>
      <c r="C26" s="39"/>
      <c r="D26" s="40" t="s">
        <v>87</v>
      </c>
      <c r="E26" s="39"/>
      <c r="F26" s="39"/>
      <c r="G26" s="39"/>
      <c r="H26" s="40"/>
      <c r="I26" s="50" t="s">
        <v>31</v>
      </c>
      <c r="K26" s="50" t="s">
        <v>31</v>
      </c>
      <c r="L26" s="50" t="s">
        <v>31</v>
      </c>
    </row>
    <row r="28" spans="2:12">
      <c r="H28" s="25"/>
    </row>
  </sheetData>
  <mergeCells count="4">
    <mergeCell ref="B1:C1"/>
    <mergeCell ref="B2:C2"/>
    <mergeCell ref="B3:C3"/>
    <mergeCell ref="G5:G6"/>
  </mergeCells>
  <conditionalFormatting sqref="I8:I26 K8:K26">
    <cfRule type="expression" dxfId="77" priority="4" stopIfTrue="1">
      <formula>RIGHT(I8,14)="partly pending"</formula>
    </cfRule>
    <cfRule type="expression" dxfId="76" priority="5" stopIfTrue="1">
      <formula>RIGHT(I8,8)="received"</formula>
    </cfRule>
    <cfRule type="expression" dxfId="75" priority="6" stopIfTrue="1">
      <formula>RIGHT(I8,4)="open"</formula>
    </cfRule>
  </conditionalFormatting>
  <conditionalFormatting sqref="L8:L26">
    <cfRule type="expression" dxfId="74" priority="1" stopIfTrue="1">
      <formula>RIGHT(L8,14)="partly pending"</formula>
    </cfRule>
    <cfRule type="expression" dxfId="73" priority="2" stopIfTrue="1">
      <formula>RIGHT(L8,8)="received"</formula>
    </cfRule>
    <cfRule type="expression" dxfId="72" priority="3" stopIfTrue="1">
      <formula>RIGHT(L8,4)="open"</formula>
    </cfRule>
  </conditionalFormatting>
  <dataValidations count="2">
    <dataValidation type="list" allowBlank="1" sqref="I8:I26 K8:L26" xr:uid="{D1A30125-ABAA-435D-BEC8-F9D5F1318E7A}">
      <formula1>Categories</formula1>
    </dataValidation>
    <dataValidation type="textLength" allowBlank="1" showInputMessage="1" showErrorMessage="1" sqref="D25 D21" xr:uid="{8A556200-48A0-4C7A-B34C-BC881043D364}">
      <formula1>0</formula1>
      <formula2>256</formula2>
    </dataValidation>
  </dataValidations>
  <pageMargins left="0.74803149606299213" right="0.51181102362204722" top="0.51181102362204722" bottom="0.76" header="0.51181102362204722" footer="0.51"/>
  <pageSetup paperSize="9" fitToHeight="5" orientation="landscape" r:id="rId1"/>
  <headerFooter alignWithMargins="0">
    <oddFooter>&amp;RPage &amp;P /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E0BBF-0455-4786-ABCA-B202F5EDFA86}">
  <dimension ref="B1:M25"/>
  <sheetViews>
    <sheetView showGridLines="0" zoomScaleNormal="100" workbookViewId="0">
      <selection activeCell="D3" sqref="D3"/>
    </sheetView>
  </sheetViews>
  <sheetFormatPr defaultColWidth="9.28515625" defaultRowHeight="11.45" outlineLevelCol="1"/>
  <cols>
    <col min="1" max="1" width="2.5703125" style="28" customWidth="1"/>
    <col min="2" max="2" width="5.5703125" style="28" customWidth="1"/>
    <col min="3" max="3" width="9.28515625" style="28" customWidth="1"/>
    <col min="4" max="4" width="45.7109375" style="28" customWidth="1"/>
    <col min="5" max="5" width="9.140625" style="25" hidden="1" customWidth="1" outlineLevel="1"/>
    <col min="6" max="6" width="9.42578125" style="25" hidden="1" customWidth="1" outlineLevel="1"/>
    <col min="7" max="7" width="14.7109375" style="25" customWidth="1" collapsed="1"/>
    <col min="8" max="8" width="40.7109375" style="25" customWidth="1"/>
    <col min="9" max="9" width="10.5703125" style="28" bestFit="1" customWidth="1"/>
    <col min="10" max="10" width="1.7109375" style="28" customWidth="1"/>
    <col min="11" max="11" width="9.28515625" style="28" hidden="1" customWidth="1" outlineLevel="1"/>
    <col min="12" max="12" width="0" style="28" hidden="1" customWidth="1" outlineLevel="1"/>
    <col min="13" max="13" width="9.28515625" style="28" collapsed="1"/>
    <col min="14" max="16384" width="9.28515625" style="28"/>
  </cols>
  <sheetData>
    <row r="1" spans="2:12" ht="24.75" customHeight="1">
      <c r="B1" s="67"/>
      <c r="C1" s="67"/>
      <c r="D1" s="22" t="str">
        <f>+Header!A3</f>
        <v>Checkliste</v>
      </c>
      <c r="E1" s="23"/>
      <c r="F1" s="24"/>
      <c r="H1" s="26" t="str">
        <f>+[2]Header!$A$16</f>
        <v>Updated:</v>
      </c>
      <c r="I1" s="27">
        <f>[2]Header!A17</f>
        <v>40808</v>
      </c>
    </row>
    <row r="2" spans="2:12" ht="15.75" customHeight="1">
      <c r="B2" s="67" t="s">
        <v>1</v>
      </c>
      <c r="C2" s="67"/>
      <c r="D2" s="7" t="str">
        <f>+Header!B4</f>
        <v>PEGASUS</v>
      </c>
      <c r="E2" s="23"/>
      <c r="F2" s="24"/>
      <c r="G2" s="24"/>
      <c r="H2" s="24"/>
      <c r="I2" s="24"/>
    </row>
    <row r="3" spans="2:12" ht="15.6">
      <c r="B3" s="68" t="s">
        <v>88</v>
      </c>
      <c r="C3" s="68"/>
      <c r="D3" s="29" t="s">
        <v>89</v>
      </c>
      <c r="E3" s="29"/>
      <c r="F3" s="30"/>
      <c r="G3" s="30"/>
      <c r="H3" s="30"/>
      <c r="I3" s="30"/>
    </row>
    <row r="4" spans="2:12" ht="12">
      <c r="K4" s="33"/>
    </row>
    <row r="5" spans="2:12" ht="26.45" customHeight="1">
      <c r="B5" s="34" t="s">
        <v>90</v>
      </c>
      <c r="C5" s="35" t="s">
        <v>20</v>
      </c>
      <c r="D5" s="35" t="s">
        <v>21</v>
      </c>
      <c r="E5" s="35" t="s">
        <v>22</v>
      </c>
      <c r="F5" s="35" t="s">
        <v>23</v>
      </c>
      <c r="G5" s="69" t="s">
        <v>24</v>
      </c>
      <c r="H5" s="35" t="s">
        <v>25</v>
      </c>
      <c r="I5" s="51" t="s">
        <v>26</v>
      </c>
      <c r="K5" s="51" t="s">
        <v>27</v>
      </c>
      <c r="L5" s="51" t="s">
        <v>28</v>
      </c>
    </row>
    <row r="6" spans="2:12" ht="13.15">
      <c r="B6" s="36"/>
      <c r="C6" s="37"/>
      <c r="D6" s="38"/>
      <c r="E6" s="37" t="s">
        <v>29</v>
      </c>
      <c r="F6" s="37" t="s">
        <v>29</v>
      </c>
      <c r="G6" s="70"/>
      <c r="H6" s="37"/>
      <c r="I6" s="49"/>
      <c r="K6" s="49"/>
      <c r="L6" s="49"/>
    </row>
    <row r="8" spans="2:12" ht="51" customHeight="1">
      <c r="B8" s="39">
        <f>3+(ROW(B8)-7)/100</f>
        <v>3.01</v>
      </c>
      <c r="C8" s="39"/>
      <c r="D8" s="40" t="s">
        <v>91</v>
      </c>
      <c r="E8" s="39"/>
      <c r="F8" s="39"/>
      <c r="G8" s="39"/>
      <c r="H8" s="40"/>
      <c r="I8" s="50" t="s">
        <v>31</v>
      </c>
      <c r="K8" s="50" t="s">
        <v>31</v>
      </c>
      <c r="L8" s="50" t="s">
        <v>31</v>
      </c>
    </row>
    <row r="9" spans="2:12" ht="39.6">
      <c r="B9" s="39">
        <f t="shared" ref="B9:B22" si="0">3+(ROW(B9)-7)/100</f>
        <v>3.02</v>
      </c>
      <c r="C9" s="39"/>
      <c r="D9" s="40" t="s">
        <v>92</v>
      </c>
      <c r="E9" s="39"/>
      <c r="F9" s="39"/>
      <c r="G9" s="39"/>
      <c r="H9" s="40"/>
      <c r="I9" s="50" t="s">
        <v>31</v>
      </c>
      <c r="K9" s="50" t="s">
        <v>31</v>
      </c>
      <c r="L9" s="50" t="s">
        <v>31</v>
      </c>
    </row>
    <row r="10" spans="2:12" ht="69" customHeight="1">
      <c r="B10" s="39">
        <f t="shared" si="0"/>
        <v>3.03</v>
      </c>
      <c r="C10" s="39"/>
      <c r="D10" s="40" t="s">
        <v>93</v>
      </c>
      <c r="E10" s="39"/>
      <c r="F10" s="39"/>
      <c r="G10" s="39"/>
      <c r="H10" s="40"/>
      <c r="I10" s="50" t="s">
        <v>31</v>
      </c>
      <c r="K10" s="50" t="s">
        <v>31</v>
      </c>
      <c r="L10" s="50" t="s">
        <v>31</v>
      </c>
    </row>
    <row r="11" spans="2:12" ht="41.25" customHeight="1">
      <c r="B11" s="39">
        <f t="shared" si="0"/>
        <v>3.04</v>
      </c>
      <c r="C11" s="39"/>
      <c r="D11" s="40" t="s">
        <v>94</v>
      </c>
      <c r="E11" s="39"/>
      <c r="F11" s="39"/>
      <c r="G11" s="39"/>
      <c r="H11" s="40"/>
      <c r="I11" s="50" t="s">
        <v>31</v>
      </c>
      <c r="K11" s="50" t="s">
        <v>31</v>
      </c>
      <c r="L11" s="50" t="s">
        <v>31</v>
      </c>
    </row>
    <row r="12" spans="2:12" ht="79.150000000000006">
      <c r="B12" s="39">
        <f t="shared" si="0"/>
        <v>3.05</v>
      </c>
      <c r="C12" s="39"/>
      <c r="D12" s="40" t="s">
        <v>95</v>
      </c>
      <c r="E12" s="39"/>
      <c r="F12" s="39"/>
      <c r="G12" s="39"/>
      <c r="H12" s="40"/>
      <c r="I12" s="50" t="s">
        <v>31</v>
      </c>
      <c r="K12" s="50" t="s">
        <v>31</v>
      </c>
      <c r="L12" s="50" t="s">
        <v>31</v>
      </c>
    </row>
    <row r="13" spans="2:12" ht="30" customHeight="1">
      <c r="B13" s="39">
        <f t="shared" si="0"/>
        <v>3.06</v>
      </c>
      <c r="C13" s="39"/>
      <c r="D13" s="40" t="s">
        <v>96</v>
      </c>
      <c r="E13" s="39"/>
      <c r="F13" s="39"/>
      <c r="G13" s="39"/>
      <c r="H13" s="40"/>
      <c r="I13" s="50" t="s">
        <v>31</v>
      </c>
      <c r="K13" s="50" t="s">
        <v>31</v>
      </c>
      <c r="L13" s="50" t="s">
        <v>31</v>
      </c>
    </row>
    <row r="14" spans="2:12" ht="30" customHeight="1">
      <c r="B14" s="39">
        <f t="shared" si="0"/>
        <v>3.07</v>
      </c>
      <c r="C14" s="39"/>
      <c r="D14" s="40" t="s">
        <v>97</v>
      </c>
      <c r="E14" s="39"/>
      <c r="F14" s="39"/>
      <c r="G14" s="39"/>
      <c r="H14" s="41"/>
      <c r="I14" s="50" t="s">
        <v>31</v>
      </c>
      <c r="K14" s="50" t="s">
        <v>31</v>
      </c>
      <c r="L14" s="50" t="s">
        <v>31</v>
      </c>
    </row>
    <row r="15" spans="2:12" ht="65.25" customHeight="1">
      <c r="B15" s="39">
        <f t="shared" si="0"/>
        <v>3.08</v>
      </c>
      <c r="C15" s="39"/>
      <c r="D15" s="40" t="s">
        <v>98</v>
      </c>
      <c r="E15" s="39"/>
      <c r="F15" s="39"/>
      <c r="G15" s="39"/>
      <c r="H15" s="41"/>
      <c r="I15" s="50" t="s">
        <v>31</v>
      </c>
      <c r="K15" s="50" t="s">
        <v>31</v>
      </c>
      <c r="L15" s="50" t="s">
        <v>31</v>
      </c>
    </row>
    <row r="16" spans="2:12" ht="71.25" customHeight="1">
      <c r="B16" s="39">
        <f t="shared" si="0"/>
        <v>3.09</v>
      </c>
      <c r="C16" s="39"/>
      <c r="D16" s="40" t="s">
        <v>99</v>
      </c>
      <c r="E16" s="39"/>
      <c r="F16" s="39"/>
      <c r="G16" s="39"/>
      <c r="H16" s="41"/>
      <c r="I16" s="50" t="s">
        <v>31</v>
      </c>
      <c r="K16" s="50" t="s">
        <v>31</v>
      </c>
      <c r="L16" s="50" t="s">
        <v>31</v>
      </c>
    </row>
    <row r="17" spans="2:12" ht="65.25" customHeight="1">
      <c r="B17" s="39">
        <f t="shared" si="0"/>
        <v>3.1</v>
      </c>
      <c r="C17" s="39"/>
      <c r="D17" s="40" t="s">
        <v>100</v>
      </c>
      <c r="E17" s="39"/>
      <c r="F17" s="39"/>
      <c r="G17" s="39"/>
      <c r="H17" s="40"/>
      <c r="I17" s="50" t="s">
        <v>31</v>
      </c>
      <c r="K17" s="50" t="s">
        <v>31</v>
      </c>
      <c r="L17" s="50" t="s">
        <v>31</v>
      </c>
    </row>
    <row r="18" spans="2:12" ht="22.5" customHeight="1">
      <c r="B18" s="39">
        <f t="shared" si="0"/>
        <v>3.11</v>
      </c>
      <c r="C18" s="39"/>
      <c r="D18" s="40" t="s">
        <v>101</v>
      </c>
      <c r="E18" s="39"/>
      <c r="F18" s="39"/>
      <c r="G18" s="39"/>
      <c r="H18" s="40"/>
      <c r="I18" s="50" t="s">
        <v>31</v>
      </c>
      <c r="K18" s="50" t="s">
        <v>31</v>
      </c>
      <c r="L18" s="50" t="s">
        <v>31</v>
      </c>
    </row>
    <row r="19" spans="2:12" ht="43.5" customHeight="1">
      <c r="B19" s="39">
        <f t="shared" si="0"/>
        <v>3.12</v>
      </c>
      <c r="C19" s="39"/>
      <c r="D19" s="40" t="s">
        <v>102</v>
      </c>
      <c r="E19" s="39"/>
      <c r="F19" s="39"/>
      <c r="G19" s="39"/>
      <c r="H19" s="40"/>
      <c r="I19" s="50" t="s">
        <v>31</v>
      </c>
      <c r="K19" s="50" t="s">
        <v>31</v>
      </c>
      <c r="L19" s="50" t="s">
        <v>31</v>
      </c>
    </row>
    <row r="20" spans="2:12" ht="44.25" customHeight="1">
      <c r="B20" s="39">
        <f t="shared" si="0"/>
        <v>3.13</v>
      </c>
      <c r="C20" s="39"/>
      <c r="D20" s="40" t="s">
        <v>103</v>
      </c>
      <c r="E20" s="39"/>
      <c r="F20" s="39"/>
      <c r="G20" s="39"/>
      <c r="H20" s="40"/>
      <c r="I20" s="50" t="s">
        <v>31</v>
      </c>
      <c r="K20" s="50" t="s">
        <v>31</v>
      </c>
      <c r="L20" s="50" t="s">
        <v>31</v>
      </c>
    </row>
    <row r="21" spans="2:12" ht="38.25" customHeight="1">
      <c r="B21" s="39">
        <f t="shared" si="0"/>
        <v>3.14</v>
      </c>
      <c r="C21" s="39"/>
      <c r="D21" s="40" t="s">
        <v>104</v>
      </c>
      <c r="E21" s="39"/>
      <c r="F21" s="42"/>
      <c r="G21" s="39"/>
      <c r="H21" s="41"/>
      <c r="I21" s="50" t="s">
        <v>31</v>
      </c>
      <c r="K21" s="50" t="s">
        <v>31</v>
      </c>
      <c r="L21" s="50" t="s">
        <v>31</v>
      </c>
    </row>
    <row r="22" spans="2:12" ht="52.5" customHeight="1">
      <c r="B22" s="39">
        <f t="shared" si="0"/>
        <v>3.15</v>
      </c>
      <c r="C22" s="39"/>
      <c r="D22" s="40" t="s">
        <v>105</v>
      </c>
      <c r="E22" s="39"/>
      <c r="F22" s="39"/>
      <c r="G22" s="39"/>
      <c r="H22" s="40"/>
      <c r="I22" s="50" t="s">
        <v>31</v>
      </c>
      <c r="K22" s="50" t="s">
        <v>31</v>
      </c>
      <c r="L22" s="50" t="s">
        <v>31</v>
      </c>
    </row>
    <row r="23" spans="2:12" ht="39.6">
      <c r="B23" s="39">
        <f>3+(ROW(B23)-7)/100</f>
        <v>3.16</v>
      </c>
      <c r="C23" s="39"/>
      <c r="D23" s="40" t="s">
        <v>106</v>
      </c>
      <c r="E23" s="39"/>
      <c r="F23" s="42"/>
      <c r="G23" s="39"/>
      <c r="H23" s="40"/>
      <c r="I23" s="50" t="s">
        <v>31</v>
      </c>
      <c r="K23" s="50" t="s">
        <v>31</v>
      </c>
      <c r="L23" s="50" t="s">
        <v>31</v>
      </c>
    </row>
    <row r="25" spans="2:12">
      <c r="E25" s="28"/>
      <c r="F25" s="28"/>
      <c r="G25" s="28"/>
      <c r="H25" s="28"/>
    </row>
  </sheetData>
  <mergeCells count="4">
    <mergeCell ref="B1:C1"/>
    <mergeCell ref="B2:C2"/>
    <mergeCell ref="B3:C3"/>
    <mergeCell ref="G5:G6"/>
  </mergeCells>
  <conditionalFormatting sqref="K8:K23 I8:I23">
    <cfRule type="expression" dxfId="71" priority="4" stopIfTrue="1">
      <formula>RIGHT(I8,14)="partly pending"</formula>
    </cfRule>
    <cfRule type="expression" dxfId="70" priority="5" stopIfTrue="1">
      <formula>RIGHT(I8,8)="received"</formula>
    </cfRule>
    <cfRule type="expression" dxfId="69" priority="6" stopIfTrue="1">
      <formula>RIGHT(I8,4)="open"</formula>
    </cfRule>
  </conditionalFormatting>
  <conditionalFormatting sqref="L8:L23">
    <cfRule type="expression" dxfId="68" priority="1" stopIfTrue="1">
      <formula>RIGHT(L8,14)="partly pending"</formula>
    </cfRule>
    <cfRule type="expression" dxfId="67" priority="2" stopIfTrue="1">
      <formula>RIGHT(L8,8)="received"</formula>
    </cfRule>
    <cfRule type="expression" dxfId="66" priority="3" stopIfTrue="1">
      <formula>RIGHT(L8,4)="open"</formula>
    </cfRule>
  </conditionalFormatting>
  <dataValidations disablePrompts="1" count="1">
    <dataValidation type="list" allowBlank="1" sqref="K8:L23 I8:I23" xr:uid="{FFA4FD24-0790-48EB-8BF9-9D2D05DB67E4}">
      <formula1>Categories</formula1>
    </dataValidation>
  </dataValidations>
  <pageMargins left="0.74803149606299213" right="0.51181102362204722" top="0.51181102362204722" bottom="0.77" header="0.51181102362204722" footer="0.51181102362204722"/>
  <pageSetup paperSize="9" fitToHeight="5" orientation="landscape" r:id="rId1"/>
  <headerFooter alignWithMargins="0">
    <oddFooter>&amp;RPage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F4B92-A82E-4DAC-8706-30D73BC76BA5}">
  <sheetPr>
    <pageSetUpPr fitToPage="1"/>
  </sheetPr>
  <dimension ref="B1:M11"/>
  <sheetViews>
    <sheetView showGridLines="0" zoomScaleNormal="100" workbookViewId="0">
      <selection activeCell="I2" sqref="I2"/>
    </sheetView>
  </sheetViews>
  <sheetFormatPr defaultColWidth="9.28515625" defaultRowHeight="11.45" outlineLevelCol="1"/>
  <cols>
    <col min="1" max="1" width="2.5703125" style="28" customWidth="1"/>
    <col min="2" max="2" width="5.5703125" style="28" customWidth="1"/>
    <col min="3" max="3" width="9" style="28" customWidth="1"/>
    <col min="4" max="4" width="45.7109375" style="28" customWidth="1"/>
    <col min="5" max="5" width="9.28515625" style="28" hidden="1" customWidth="1" outlineLevel="1"/>
    <col min="6" max="6" width="8.7109375" style="28" hidden="1" customWidth="1" outlineLevel="1"/>
    <col min="7" max="7" width="15.7109375" style="28" customWidth="1" collapsed="1"/>
    <col min="8" max="8" width="40.7109375" style="43" customWidth="1"/>
    <col min="9" max="9" width="10.5703125" style="28" bestFit="1" customWidth="1"/>
    <col min="10" max="10" width="1.7109375" style="28" customWidth="1"/>
    <col min="11" max="11" width="9.28515625" style="28" hidden="1" customWidth="1" outlineLevel="1"/>
    <col min="12" max="12" width="0" style="28" hidden="1" customWidth="1" outlineLevel="1"/>
    <col min="13" max="13" width="9.28515625" style="28" collapsed="1"/>
    <col min="14" max="16384" width="9.28515625" style="28"/>
  </cols>
  <sheetData>
    <row r="1" spans="2:12" ht="24.75" customHeight="1">
      <c r="B1" s="67"/>
      <c r="C1" s="67"/>
      <c r="D1" s="22" t="str">
        <f>+Header!A3</f>
        <v>Checkliste</v>
      </c>
      <c r="E1" s="23"/>
      <c r="F1" s="24"/>
      <c r="H1" s="26" t="s">
        <v>15</v>
      </c>
      <c r="I1" s="27">
        <f>+Header!A17</f>
        <v>44552</v>
      </c>
    </row>
    <row r="2" spans="2:12" ht="15.75" customHeight="1">
      <c r="B2" s="67" t="s">
        <v>1</v>
      </c>
      <c r="C2" s="67"/>
      <c r="D2" s="7" t="str">
        <f>+Header!B4</f>
        <v>PEGASUS</v>
      </c>
      <c r="E2" s="23"/>
      <c r="F2" s="24"/>
      <c r="G2" s="24"/>
      <c r="H2" s="22"/>
      <c r="I2" s="24"/>
    </row>
    <row r="3" spans="2:12" ht="15.6">
      <c r="B3" s="68" t="s">
        <v>107</v>
      </c>
      <c r="C3" s="68"/>
      <c r="D3" s="29" t="s">
        <v>108</v>
      </c>
      <c r="E3" s="29"/>
      <c r="F3" s="30"/>
      <c r="G3" s="30"/>
      <c r="H3" s="31"/>
      <c r="I3" s="30"/>
    </row>
    <row r="4" spans="2:12" ht="12">
      <c r="K4" s="33"/>
    </row>
    <row r="5" spans="2:12" ht="26.45" customHeight="1">
      <c r="B5" s="34" t="s">
        <v>19</v>
      </c>
      <c r="C5" s="35" t="s">
        <v>20</v>
      </c>
      <c r="D5" s="35" t="s">
        <v>21</v>
      </c>
      <c r="E5" s="35" t="s">
        <v>22</v>
      </c>
      <c r="F5" s="35" t="s">
        <v>23</v>
      </c>
      <c r="G5" s="69" t="s">
        <v>24</v>
      </c>
      <c r="H5" s="35" t="s">
        <v>25</v>
      </c>
      <c r="I5" s="51" t="s">
        <v>26</v>
      </c>
      <c r="K5" s="51" t="s">
        <v>27</v>
      </c>
      <c r="L5" s="51" t="s">
        <v>28</v>
      </c>
    </row>
    <row r="6" spans="2:12" ht="13.15">
      <c r="B6" s="36"/>
      <c r="C6" s="37"/>
      <c r="D6" s="38"/>
      <c r="E6" s="37" t="s">
        <v>29</v>
      </c>
      <c r="F6" s="37" t="s">
        <v>29</v>
      </c>
      <c r="G6" s="70"/>
      <c r="H6" s="37"/>
      <c r="I6" s="49"/>
      <c r="K6" s="49"/>
      <c r="L6" s="49"/>
    </row>
    <row r="7" spans="2:12">
      <c r="H7" s="28"/>
    </row>
    <row r="8" spans="2:12" ht="30" customHeight="1">
      <c r="B8" s="39">
        <f>4+(ROW(B8)-7)/100</f>
        <v>4.01</v>
      </c>
      <c r="C8" s="39"/>
      <c r="D8" s="40" t="s">
        <v>109</v>
      </c>
      <c r="E8" s="39"/>
      <c r="F8" s="39"/>
      <c r="G8" s="39"/>
      <c r="H8" s="40"/>
      <c r="I8" s="50" t="s">
        <v>31</v>
      </c>
      <c r="K8" s="50" t="s">
        <v>31</v>
      </c>
      <c r="L8" s="50" t="s">
        <v>31</v>
      </c>
    </row>
    <row r="9" spans="2:12" ht="45" customHeight="1">
      <c r="B9" s="39">
        <f>4+(ROW(B9)-7)/100</f>
        <v>4.0199999999999996</v>
      </c>
      <c r="C9" s="39"/>
      <c r="D9" s="40" t="s">
        <v>110</v>
      </c>
      <c r="E9" s="39"/>
      <c r="F9" s="39"/>
      <c r="G9" s="39"/>
      <c r="H9" s="40"/>
      <c r="I9" s="50" t="s">
        <v>31</v>
      </c>
      <c r="K9" s="50" t="s">
        <v>31</v>
      </c>
      <c r="L9" s="50" t="s">
        <v>31</v>
      </c>
    </row>
    <row r="10" spans="2:12" ht="45" customHeight="1">
      <c r="B10" s="39">
        <f>4+(ROW(B10)-7)/100</f>
        <v>4.03</v>
      </c>
      <c r="C10" s="39"/>
      <c r="D10" s="40" t="s">
        <v>111</v>
      </c>
      <c r="E10" s="39"/>
      <c r="F10" s="39"/>
      <c r="G10" s="39"/>
      <c r="H10" s="40"/>
      <c r="I10" s="50" t="s">
        <v>31</v>
      </c>
      <c r="K10" s="50" t="s">
        <v>31</v>
      </c>
      <c r="L10" s="50" t="s">
        <v>31</v>
      </c>
    </row>
    <row r="11" spans="2:12" ht="51.75" customHeight="1">
      <c r="B11" s="39">
        <f>4+(ROW(B11)-7)/100</f>
        <v>4.04</v>
      </c>
      <c r="C11" s="39"/>
      <c r="D11" s="40" t="s">
        <v>112</v>
      </c>
      <c r="E11" s="39"/>
      <c r="F11" s="39"/>
      <c r="G11" s="39"/>
      <c r="H11" s="40"/>
      <c r="I11" s="50" t="s">
        <v>31</v>
      </c>
      <c r="K11" s="50" t="s">
        <v>31</v>
      </c>
      <c r="L11" s="50" t="s">
        <v>31</v>
      </c>
    </row>
  </sheetData>
  <mergeCells count="4">
    <mergeCell ref="B1:C1"/>
    <mergeCell ref="B2:C2"/>
    <mergeCell ref="B3:C3"/>
    <mergeCell ref="G5:G6"/>
  </mergeCells>
  <conditionalFormatting sqref="I8:I11 K8:K11">
    <cfRule type="expression" dxfId="65" priority="4" stopIfTrue="1">
      <formula>RIGHT(I8,14)="partly pending"</formula>
    </cfRule>
    <cfRule type="expression" dxfId="64" priority="5" stopIfTrue="1">
      <formula>RIGHT(I8,8)="received"</formula>
    </cfRule>
    <cfRule type="expression" dxfId="63" priority="6" stopIfTrue="1">
      <formula>RIGHT(I8,4)="open"</formula>
    </cfRule>
  </conditionalFormatting>
  <conditionalFormatting sqref="L8:L11">
    <cfRule type="expression" dxfId="62" priority="1" stopIfTrue="1">
      <formula>RIGHT(L8,14)="partly pending"</formula>
    </cfRule>
    <cfRule type="expression" dxfId="61" priority="2" stopIfTrue="1">
      <formula>RIGHT(L8,8)="received"</formula>
    </cfRule>
    <cfRule type="expression" dxfId="60" priority="3" stopIfTrue="1">
      <formula>RIGHT(L8,4)="open"</formula>
    </cfRule>
  </conditionalFormatting>
  <dataValidations count="2">
    <dataValidation type="textLength" allowBlank="1" showInputMessage="1" showErrorMessage="1" sqref="D8:D11" xr:uid="{C58771F1-D68C-43DA-84ED-F17F3EC103D6}">
      <formula1>0</formula1>
      <formula2>256</formula2>
    </dataValidation>
    <dataValidation type="list" allowBlank="1" sqref="I8:I11 K8:L11" xr:uid="{CD4A3B40-5E50-48FD-A6FC-71BB362C760B}">
      <formula1>Categories</formula1>
    </dataValidation>
  </dataValidations>
  <pageMargins left="0.74803149606299213" right="0.51181102362204722" top="0.51181102362204722" bottom="0.75" header="0.51181102362204722" footer="0.51181102362204722"/>
  <pageSetup paperSize="9" fitToHeight="5" orientation="landscape" r:id="rId1"/>
  <headerFooter alignWithMargins="0">
    <oddFooter>&amp;RPage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8CA9-7392-486F-B397-D338C55A615E}">
  <sheetPr>
    <pageSetUpPr fitToPage="1"/>
  </sheetPr>
  <dimension ref="B1:M18"/>
  <sheetViews>
    <sheetView showGridLines="0" topLeftCell="A2" zoomScale="86" zoomScaleNormal="86" workbookViewId="0">
      <selection activeCell="H16" sqref="H16"/>
    </sheetView>
  </sheetViews>
  <sheetFormatPr defaultColWidth="9.28515625" defaultRowHeight="11.45" outlineLevelCol="1"/>
  <cols>
    <col min="1" max="1" width="2.5703125" style="28" customWidth="1"/>
    <col min="2" max="2" width="5.5703125" style="28" customWidth="1"/>
    <col min="3" max="3" width="7.7109375" style="28" customWidth="1"/>
    <col min="4" max="4" width="45.7109375" style="28" customWidth="1"/>
    <col min="5" max="5" width="8.5703125" style="25" hidden="1" customWidth="1" outlineLevel="1"/>
    <col min="6" max="6" width="10.85546875" style="25" hidden="1" customWidth="1" outlineLevel="1"/>
    <col min="7" max="7" width="14.7109375" style="25" hidden="1" customWidth="1" outlineLevel="1"/>
    <col min="8" max="8" width="40.7109375" style="32" customWidth="1" collapsed="1"/>
    <col min="9" max="9" width="10.5703125" style="28" bestFit="1" customWidth="1"/>
    <col min="10" max="10" width="1.7109375" style="28" customWidth="1"/>
    <col min="11" max="12" width="9.28515625" style="28" hidden="1" customWidth="1" outlineLevel="1"/>
    <col min="13" max="13" width="9.28515625" style="28" collapsed="1"/>
    <col min="14" max="16384" width="9.28515625" style="28"/>
  </cols>
  <sheetData>
    <row r="1" spans="2:12" ht="24.75" customHeight="1">
      <c r="B1" s="67"/>
      <c r="C1" s="67"/>
      <c r="D1" s="22" t="str">
        <f>+Header!A3</f>
        <v>Checkliste</v>
      </c>
      <c r="E1" s="23"/>
      <c r="F1" s="24"/>
      <c r="H1" s="26" t="str">
        <f>+[2]Header!$A$16</f>
        <v>Updated:</v>
      </c>
      <c r="I1" s="27">
        <f>[2]Header!A17</f>
        <v>40808</v>
      </c>
    </row>
    <row r="2" spans="2:12" ht="15.75" customHeight="1">
      <c r="B2" s="67" t="s">
        <v>16</v>
      </c>
      <c r="C2" s="67"/>
      <c r="D2" s="7" t="str">
        <f>+Header!B4</f>
        <v>PEGASUS</v>
      </c>
      <c r="E2" s="23"/>
      <c r="F2" s="24"/>
      <c r="G2" s="24"/>
      <c r="H2" s="22"/>
      <c r="I2" s="24"/>
    </row>
    <row r="3" spans="2:12" ht="15.6">
      <c r="B3" s="68" t="s">
        <v>50</v>
      </c>
      <c r="C3" s="68"/>
      <c r="D3" s="29" t="s">
        <v>113</v>
      </c>
      <c r="E3" s="29"/>
      <c r="F3" s="30"/>
      <c r="G3" s="30"/>
      <c r="H3" s="31"/>
      <c r="I3" s="30"/>
    </row>
    <row r="5" spans="2:12" ht="26.45">
      <c r="B5" s="34" t="s">
        <v>19</v>
      </c>
      <c r="C5" s="35" t="s">
        <v>20</v>
      </c>
      <c r="D5" s="35" t="s">
        <v>21</v>
      </c>
      <c r="E5" s="35" t="s">
        <v>22</v>
      </c>
      <c r="F5" s="35" t="s">
        <v>23</v>
      </c>
      <c r="G5" s="69" t="s">
        <v>24</v>
      </c>
      <c r="H5" s="35" t="s">
        <v>25</v>
      </c>
      <c r="I5" s="51" t="s">
        <v>26</v>
      </c>
      <c r="K5" s="51" t="s">
        <v>27</v>
      </c>
      <c r="L5" s="51" t="s">
        <v>28</v>
      </c>
    </row>
    <row r="6" spans="2:12" ht="13.15">
      <c r="B6" s="36"/>
      <c r="C6" s="37"/>
      <c r="D6" s="38"/>
      <c r="E6" s="37" t="s">
        <v>29</v>
      </c>
      <c r="F6" s="37" t="s">
        <v>29</v>
      </c>
      <c r="G6" s="70"/>
      <c r="H6" s="37"/>
      <c r="I6" s="49"/>
      <c r="K6" s="49"/>
      <c r="L6" s="49"/>
    </row>
    <row r="7" spans="2:12">
      <c r="H7" s="25"/>
    </row>
    <row r="8" spans="2:12" ht="30" customHeight="1">
      <c r="B8" s="39">
        <f t="shared" ref="B8:B18" si="0">5+(ROW(B8)-7)/100</f>
        <v>5.01</v>
      </c>
      <c r="C8" s="39"/>
      <c r="D8" s="40" t="s">
        <v>114</v>
      </c>
      <c r="E8" s="39"/>
      <c r="F8" s="39"/>
      <c r="G8" s="39"/>
      <c r="H8" s="40"/>
      <c r="I8" s="50" t="s">
        <v>31</v>
      </c>
      <c r="J8" s="28" t="s">
        <v>115</v>
      </c>
      <c r="K8" s="50" t="s">
        <v>31</v>
      </c>
      <c r="L8" s="50" t="s">
        <v>31</v>
      </c>
    </row>
    <row r="9" spans="2:12" ht="27.6" customHeight="1">
      <c r="B9" s="39">
        <f>5+(ROW(B9)-7)/100</f>
        <v>5.0199999999999996</v>
      </c>
      <c r="C9" s="39"/>
      <c r="D9" s="40" t="s">
        <v>116</v>
      </c>
      <c r="E9" s="39"/>
      <c r="F9" s="39"/>
      <c r="G9" s="39"/>
      <c r="H9" s="40"/>
      <c r="I9" s="50" t="s">
        <v>31</v>
      </c>
      <c r="J9" s="28" t="s">
        <v>115</v>
      </c>
      <c r="K9" s="50" t="s">
        <v>31</v>
      </c>
      <c r="L9" s="50" t="s">
        <v>31</v>
      </c>
    </row>
    <row r="10" spans="2:12" ht="39.6">
      <c r="B10" s="39">
        <f>5+(ROW(B10)-7)/100</f>
        <v>5.03</v>
      </c>
      <c r="C10" s="39"/>
      <c r="D10" s="40" t="s">
        <v>117</v>
      </c>
      <c r="E10" s="39"/>
      <c r="F10" s="39"/>
      <c r="G10" s="39"/>
      <c r="H10" s="40"/>
      <c r="I10" s="50" t="s">
        <v>31</v>
      </c>
      <c r="J10" s="28" t="s">
        <v>115</v>
      </c>
      <c r="K10" s="50" t="s">
        <v>31</v>
      </c>
      <c r="L10" s="50" t="s">
        <v>31</v>
      </c>
    </row>
    <row r="11" spans="2:12" ht="26.45">
      <c r="B11" s="39">
        <f>5+(ROW(B11)-7)/100</f>
        <v>5.04</v>
      </c>
      <c r="C11" s="39"/>
      <c r="D11" s="40" t="s">
        <v>118</v>
      </c>
      <c r="E11" s="39"/>
      <c r="F11" s="39"/>
      <c r="G11" s="39"/>
      <c r="H11" s="40"/>
      <c r="I11" s="50" t="s">
        <v>31</v>
      </c>
      <c r="K11" s="50" t="s">
        <v>31</v>
      </c>
      <c r="L11" s="50" t="s">
        <v>31</v>
      </c>
    </row>
    <row r="12" spans="2:12" ht="60" customHeight="1">
      <c r="B12" s="39">
        <f>5+(ROW(B12)-7)/100</f>
        <v>5.05</v>
      </c>
      <c r="C12" s="39"/>
      <c r="D12" s="40" t="s">
        <v>119</v>
      </c>
      <c r="E12" s="39"/>
      <c r="F12" s="39"/>
      <c r="G12" s="39"/>
      <c r="H12" s="40"/>
      <c r="I12" s="50" t="s">
        <v>31</v>
      </c>
      <c r="J12" s="28" t="s">
        <v>115</v>
      </c>
      <c r="K12" s="50" t="s">
        <v>31</v>
      </c>
      <c r="L12" s="50" t="s">
        <v>31</v>
      </c>
    </row>
    <row r="13" spans="2:12" ht="45" customHeight="1">
      <c r="B13" s="39">
        <f t="shared" si="0"/>
        <v>5.0599999999999996</v>
      </c>
      <c r="C13" s="39"/>
      <c r="D13" s="40" t="s">
        <v>120</v>
      </c>
      <c r="E13" s="39"/>
      <c r="F13" s="39"/>
      <c r="G13" s="39"/>
      <c r="H13" s="40"/>
      <c r="I13" s="50" t="s">
        <v>31</v>
      </c>
      <c r="J13" s="28" t="s">
        <v>115</v>
      </c>
      <c r="K13" s="50" t="s">
        <v>31</v>
      </c>
      <c r="L13" s="50" t="s">
        <v>31</v>
      </c>
    </row>
    <row r="14" spans="2:12" ht="39.6">
      <c r="B14" s="39">
        <f t="shared" si="0"/>
        <v>5.07</v>
      </c>
      <c r="C14" s="39"/>
      <c r="D14" s="40" t="s">
        <v>121</v>
      </c>
      <c r="E14" s="39"/>
      <c r="F14" s="39"/>
      <c r="G14" s="39"/>
      <c r="H14" s="40"/>
      <c r="I14" s="50" t="s">
        <v>31</v>
      </c>
      <c r="J14" s="28" t="s">
        <v>115</v>
      </c>
      <c r="K14" s="50" t="s">
        <v>31</v>
      </c>
      <c r="L14" s="50" t="s">
        <v>31</v>
      </c>
    </row>
    <row r="15" spans="2:12" ht="39.6">
      <c r="B15" s="39">
        <f t="shared" si="0"/>
        <v>5.08</v>
      </c>
      <c r="C15" s="39"/>
      <c r="D15" s="40" t="s">
        <v>122</v>
      </c>
      <c r="E15" s="39"/>
      <c r="F15" s="39"/>
      <c r="G15" s="39"/>
      <c r="H15" s="40"/>
      <c r="I15" s="50" t="s">
        <v>31</v>
      </c>
      <c r="J15" s="28" t="s">
        <v>115</v>
      </c>
      <c r="K15" s="50" t="s">
        <v>31</v>
      </c>
      <c r="L15" s="50" t="s">
        <v>31</v>
      </c>
    </row>
    <row r="16" spans="2:12" ht="38.25" customHeight="1">
      <c r="B16" s="39">
        <f t="shared" si="0"/>
        <v>5.09</v>
      </c>
      <c r="C16" s="39"/>
      <c r="D16" s="40" t="s">
        <v>123</v>
      </c>
      <c r="E16" s="39"/>
      <c r="F16" s="39"/>
      <c r="G16" s="39"/>
      <c r="H16" s="40"/>
      <c r="I16" s="50" t="s">
        <v>31</v>
      </c>
      <c r="J16" s="28" t="s">
        <v>115</v>
      </c>
      <c r="K16" s="50" t="s">
        <v>31</v>
      </c>
      <c r="L16" s="50" t="s">
        <v>31</v>
      </c>
    </row>
    <row r="17" spans="2:12" ht="39.6">
      <c r="B17" s="39">
        <f t="shared" si="0"/>
        <v>5.0999999999999996</v>
      </c>
      <c r="C17" s="39"/>
      <c r="D17" s="40" t="s">
        <v>124</v>
      </c>
      <c r="E17" s="39"/>
      <c r="F17" s="39"/>
      <c r="G17" s="39"/>
      <c r="H17" s="40"/>
      <c r="I17" s="50" t="s">
        <v>31</v>
      </c>
      <c r="J17" s="28" t="s">
        <v>115</v>
      </c>
      <c r="K17" s="50" t="s">
        <v>31</v>
      </c>
      <c r="L17" s="50" t="s">
        <v>31</v>
      </c>
    </row>
    <row r="18" spans="2:12" ht="66.75" customHeight="1">
      <c r="B18" s="39">
        <f t="shared" si="0"/>
        <v>5.1100000000000003</v>
      </c>
      <c r="C18" s="39"/>
      <c r="D18" s="40" t="s">
        <v>125</v>
      </c>
      <c r="E18" s="39"/>
      <c r="F18" s="39"/>
      <c r="G18" s="39"/>
      <c r="H18" s="40"/>
      <c r="I18" s="50" t="s">
        <v>31</v>
      </c>
      <c r="J18" s="28" t="s">
        <v>115</v>
      </c>
      <c r="K18" s="50" t="s">
        <v>31</v>
      </c>
      <c r="L18" s="50" t="s">
        <v>31</v>
      </c>
    </row>
  </sheetData>
  <mergeCells count="4">
    <mergeCell ref="B1:C1"/>
    <mergeCell ref="B2:C2"/>
    <mergeCell ref="B3:C3"/>
    <mergeCell ref="G5:G6"/>
  </mergeCells>
  <conditionalFormatting sqref="I8:I18">
    <cfRule type="expression" dxfId="59" priority="7" stopIfTrue="1">
      <formula>RIGHT(I8,14)="partly pending"</formula>
    </cfRule>
    <cfRule type="expression" dxfId="58" priority="8" stopIfTrue="1">
      <formula>RIGHT(I8,8)="received"</formula>
    </cfRule>
    <cfRule type="expression" dxfId="57" priority="9" stopIfTrue="1">
      <formula>RIGHT(I8,4)="open"</formula>
    </cfRule>
  </conditionalFormatting>
  <conditionalFormatting sqref="K8:K18">
    <cfRule type="expression" dxfId="56" priority="4" stopIfTrue="1">
      <formula>RIGHT(K8,14)="partly pending"</formula>
    </cfRule>
    <cfRule type="expression" dxfId="55" priority="5" stopIfTrue="1">
      <formula>RIGHT(K8,8)="received"</formula>
    </cfRule>
    <cfRule type="expression" dxfId="54" priority="6" stopIfTrue="1">
      <formula>RIGHT(K8,4)="open"</formula>
    </cfRule>
  </conditionalFormatting>
  <conditionalFormatting sqref="L8:L18">
    <cfRule type="expression" dxfId="53" priority="1" stopIfTrue="1">
      <formula>RIGHT(L8,14)="partly pending"</formula>
    </cfRule>
    <cfRule type="expression" dxfId="52" priority="2" stopIfTrue="1">
      <formula>RIGHT(L8,8)="received"</formula>
    </cfRule>
    <cfRule type="expression" dxfId="51" priority="3" stopIfTrue="1">
      <formula>RIGHT(L8,4)="open"</formula>
    </cfRule>
  </conditionalFormatting>
  <dataValidations count="2">
    <dataValidation type="textLength" allowBlank="1" showInputMessage="1" showErrorMessage="1" sqref="D12:D18 D8:D9" xr:uid="{D1D2B041-CE15-4AFD-8200-911E5739FF9E}">
      <formula1>0</formula1>
      <formula2>256</formula2>
    </dataValidation>
    <dataValidation type="list" allowBlank="1" sqref="I8:I18 K8:L18" xr:uid="{12B07B63-F65B-4962-B316-7421B9ED927C}">
      <formula1>Categories</formula1>
    </dataValidation>
  </dataValidations>
  <pageMargins left="0.74803149606299213" right="0.51181102362204722" top="0.51181102362204722" bottom="0.76" header="0.51181102362204722" footer="0.51181102362204722"/>
  <pageSetup paperSize="9" fitToHeight="5" orientation="landscape" r:id="rId1"/>
  <headerFooter alignWithMargins="0">
    <oddFooter>&amp;RPage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A771-694F-47E0-8566-D7CBC872FB10}">
  <dimension ref="B1:L60"/>
  <sheetViews>
    <sheetView showGridLines="0" zoomScaleNormal="100" workbookViewId="0">
      <selection activeCell="S13" sqref="S13"/>
    </sheetView>
  </sheetViews>
  <sheetFormatPr defaultColWidth="9.28515625" defaultRowHeight="11.45" outlineLevelCol="1"/>
  <cols>
    <col min="1" max="1" width="2.5703125" style="28" customWidth="1"/>
    <col min="2" max="2" width="5.5703125" style="28" customWidth="1"/>
    <col min="3" max="3" width="9.5703125" style="28" customWidth="1"/>
    <col min="4" max="4" width="45.7109375" style="28" customWidth="1"/>
    <col min="5" max="5" width="9.140625" style="25" hidden="1" customWidth="1" outlineLevel="1"/>
    <col min="6" max="6" width="8.5703125" style="25" hidden="1" customWidth="1" outlineLevel="1"/>
    <col min="7" max="7" width="14.140625" style="25" customWidth="1" collapsed="1"/>
    <col min="8" max="8" width="40.7109375" style="25" customWidth="1"/>
    <col min="9" max="9" width="11.140625" style="28" bestFit="1" customWidth="1"/>
    <col min="10" max="10" width="1.7109375" style="28" customWidth="1"/>
    <col min="11" max="12" width="9.28515625" style="28" customWidth="1" outlineLevel="1"/>
    <col min="13" max="16384" width="9.28515625" style="28"/>
  </cols>
  <sheetData>
    <row r="1" spans="2:12" ht="24.75" customHeight="1">
      <c r="B1" s="67"/>
      <c r="C1" s="67"/>
      <c r="D1" s="22" t="str">
        <f>+Header!A3</f>
        <v>Checkliste</v>
      </c>
      <c r="E1" s="23"/>
      <c r="F1" s="24"/>
      <c r="H1" s="26" t="s">
        <v>15</v>
      </c>
      <c r="I1" s="27">
        <f>+Header!A17</f>
        <v>44552</v>
      </c>
    </row>
    <row r="2" spans="2:12" ht="15.75" customHeight="1">
      <c r="B2" s="67" t="s">
        <v>16</v>
      </c>
      <c r="C2" s="67"/>
      <c r="D2" s="7" t="str">
        <f>+Header!B4</f>
        <v>PEGASUS</v>
      </c>
      <c r="E2" s="23"/>
      <c r="F2" s="24"/>
      <c r="G2" s="24"/>
      <c r="H2" s="24"/>
      <c r="I2" s="24"/>
    </row>
    <row r="3" spans="2:12" ht="15.6">
      <c r="B3" s="68" t="s">
        <v>88</v>
      </c>
      <c r="C3" s="68"/>
      <c r="D3" s="29" t="s">
        <v>126</v>
      </c>
      <c r="E3" s="29"/>
      <c r="F3" s="30"/>
      <c r="G3" s="30"/>
      <c r="H3" s="30"/>
      <c r="I3" s="30"/>
    </row>
    <row r="4" spans="2:12" ht="12">
      <c r="K4" s="33"/>
    </row>
    <row r="5" spans="2:12" ht="13.15">
      <c r="B5" s="34" t="s">
        <v>19</v>
      </c>
      <c r="C5" s="35" t="s">
        <v>20</v>
      </c>
      <c r="D5" s="35" t="s">
        <v>21</v>
      </c>
      <c r="E5" s="35" t="s">
        <v>22</v>
      </c>
      <c r="F5" s="35" t="s">
        <v>23</v>
      </c>
      <c r="G5" s="69" t="s">
        <v>24</v>
      </c>
      <c r="H5" s="35" t="s">
        <v>25</v>
      </c>
      <c r="I5" s="51" t="s">
        <v>26</v>
      </c>
      <c r="K5" s="51" t="s">
        <v>27</v>
      </c>
      <c r="L5" s="51" t="s">
        <v>28</v>
      </c>
    </row>
    <row r="6" spans="2:12" ht="13.15">
      <c r="B6" s="36"/>
      <c r="C6" s="37"/>
      <c r="D6" s="38"/>
      <c r="E6" s="37" t="s">
        <v>29</v>
      </c>
      <c r="F6" s="37" t="s">
        <v>29</v>
      </c>
      <c r="G6" s="70"/>
      <c r="H6" s="37"/>
      <c r="I6" s="49"/>
      <c r="K6" s="49"/>
      <c r="L6" s="49"/>
    </row>
    <row r="8" spans="2:12" ht="12">
      <c r="D8" s="33" t="s">
        <v>127</v>
      </c>
    </row>
    <row r="9" spans="2:12" ht="26.45">
      <c r="B9" s="39">
        <f>6+(ROW(B9)-8)/100</f>
        <v>6.01</v>
      </c>
      <c r="C9" s="39"/>
      <c r="D9" s="40" t="s">
        <v>128</v>
      </c>
      <c r="E9" s="39"/>
      <c r="F9" s="39"/>
      <c r="G9" s="39"/>
      <c r="H9" s="40"/>
      <c r="I9" s="50" t="s">
        <v>31</v>
      </c>
      <c r="K9" s="50" t="s">
        <v>31</v>
      </c>
      <c r="L9" s="50" t="s">
        <v>31</v>
      </c>
    </row>
    <row r="10" spans="2:12" ht="26.45">
      <c r="B10" s="39">
        <f t="shared" ref="B10:B14" si="0">6+(ROW(B10)-8)/100</f>
        <v>6.02</v>
      </c>
      <c r="C10" s="39"/>
      <c r="D10" s="40" t="s">
        <v>129</v>
      </c>
      <c r="E10" s="39"/>
      <c r="F10" s="39"/>
      <c r="G10" s="39"/>
      <c r="H10" s="40"/>
      <c r="I10" s="50" t="s">
        <v>31</v>
      </c>
      <c r="K10" s="50" t="s">
        <v>31</v>
      </c>
      <c r="L10" s="50" t="s">
        <v>31</v>
      </c>
    </row>
    <row r="11" spans="2:12" ht="26.45">
      <c r="B11" s="39">
        <f t="shared" si="0"/>
        <v>6.03</v>
      </c>
      <c r="C11" s="39"/>
      <c r="D11" s="40" t="s">
        <v>130</v>
      </c>
      <c r="E11" s="39"/>
      <c r="F11" s="39"/>
      <c r="G11" s="39"/>
      <c r="H11" s="40"/>
      <c r="I11" s="50" t="s">
        <v>31</v>
      </c>
      <c r="K11" s="50" t="s">
        <v>31</v>
      </c>
      <c r="L11" s="50" t="s">
        <v>31</v>
      </c>
    </row>
    <row r="12" spans="2:12" ht="105.6">
      <c r="B12" s="39">
        <f t="shared" si="0"/>
        <v>6.04</v>
      </c>
      <c r="C12" s="39"/>
      <c r="D12" s="40" t="s">
        <v>131</v>
      </c>
      <c r="E12" s="39"/>
      <c r="F12" s="39"/>
      <c r="G12" s="39"/>
      <c r="H12" s="40"/>
      <c r="I12" s="50" t="s">
        <v>31</v>
      </c>
      <c r="K12" s="50" t="s">
        <v>31</v>
      </c>
      <c r="L12" s="50" t="s">
        <v>31</v>
      </c>
    </row>
    <row r="13" spans="2:12" ht="66">
      <c r="B13" s="39">
        <f t="shared" si="0"/>
        <v>6.05</v>
      </c>
      <c r="C13" s="39"/>
      <c r="D13" s="40" t="s">
        <v>132</v>
      </c>
      <c r="E13" s="39"/>
      <c r="F13" s="39"/>
      <c r="G13" s="39"/>
      <c r="H13" s="41"/>
      <c r="I13" s="50" t="s">
        <v>31</v>
      </c>
      <c r="K13" s="50" t="s">
        <v>31</v>
      </c>
      <c r="L13" s="50" t="s">
        <v>31</v>
      </c>
    </row>
    <row r="14" spans="2:12" ht="52.9">
      <c r="B14" s="39">
        <f t="shared" si="0"/>
        <v>6.06</v>
      </c>
      <c r="C14" s="39"/>
      <c r="D14" s="40" t="s">
        <v>133</v>
      </c>
      <c r="E14" s="39"/>
      <c r="F14" s="39"/>
      <c r="G14" s="39"/>
      <c r="H14" s="41"/>
      <c r="I14" s="50" t="s">
        <v>31</v>
      </c>
      <c r="K14" s="50" t="s">
        <v>31</v>
      </c>
      <c r="L14" s="50" t="s">
        <v>31</v>
      </c>
    </row>
    <row r="15" spans="2:12" ht="13.15">
      <c r="D15" s="33" t="s">
        <v>134</v>
      </c>
      <c r="I15" s="50"/>
    </row>
    <row r="16" spans="2:12" ht="66.75" customHeight="1">
      <c r="B16" s="39">
        <f>6+(ROW(B16)-9)/100</f>
        <v>6.07</v>
      </c>
      <c r="C16" s="39"/>
      <c r="D16" s="40" t="s">
        <v>135</v>
      </c>
      <c r="E16" s="39"/>
      <c r="F16" s="39"/>
      <c r="G16" s="39"/>
      <c r="H16" s="40"/>
      <c r="I16" s="50" t="s">
        <v>31</v>
      </c>
      <c r="K16" s="50" t="s">
        <v>31</v>
      </c>
    </row>
    <row r="17" spans="2:11" ht="79.150000000000006">
      <c r="B17" s="39">
        <f t="shared" ref="B17:B24" si="1">6+(ROW(B17)-9)/100</f>
        <v>6.08</v>
      </c>
      <c r="C17" s="39"/>
      <c r="D17" s="40" t="s">
        <v>136</v>
      </c>
      <c r="E17" s="39"/>
      <c r="F17" s="39"/>
      <c r="G17" s="39"/>
      <c r="H17" s="40"/>
      <c r="I17" s="50" t="s">
        <v>31</v>
      </c>
      <c r="K17" s="50" t="s">
        <v>31</v>
      </c>
    </row>
    <row r="18" spans="2:11" ht="26.45">
      <c r="B18" s="39">
        <f t="shared" si="1"/>
        <v>6.09</v>
      </c>
      <c r="C18" s="39"/>
      <c r="D18" s="40" t="s">
        <v>137</v>
      </c>
      <c r="E18" s="39"/>
      <c r="F18" s="39"/>
      <c r="G18" s="39"/>
      <c r="H18" s="40"/>
      <c r="I18" s="50" t="s">
        <v>31</v>
      </c>
      <c r="K18" s="50" t="s">
        <v>31</v>
      </c>
    </row>
    <row r="19" spans="2:11" ht="30" customHeight="1">
      <c r="B19" s="39">
        <f t="shared" si="1"/>
        <v>6.1</v>
      </c>
      <c r="C19" s="39"/>
      <c r="D19" s="40" t="s">
        <v>138</v>
      </c>
      <c r="E19" s="39"/>
      <c r="F19" s="39"/>
      <c r="G19" s="39"/>
      <c r="H19" s="40"/>
      <c r="I19" s="50" t="s">
        <v>31</v>
      </c>
      <c r="K19" s="50" t="s">
        <v>31</v>
      </c>
    </row>
    <row r="20" spans="2:11" ht="27.75" customHeight="1">
      <c r="B20" s="39">
        <f t="shared" si="1"/>
        <v>6.11</v>
      </c>
      <c r="C20" s="39"/>
      <c r="D20" s="40" t="s">
        <v>139</v>
      </c>
      <c r="E20" s="39"/>
      <c r="F20" s="42"/>
      <c r="G20" s="39"/>
      <c r="H20" s="41"/>
      <c r="I20" s="50" t="s">
        <v>31</v>
      </c>
      <c r="K20" s="50" t="s">
        <v>31</v>
      </c>
    </row>
    <row r="21" spans="2:11" ht="39.6">
      <c r="B21" s="39">
        <f t="shared" si="1"/>
        <v>6.12</v>
      </c>
      <c r="C21" s="39"/>
      <c r="D21" s="40" t="s">
        <v>140</v>
      </c>
      <c r="E21" s="39"/>
      <c r="F21" s="42"/>
      <c r="G21" s="39"/>
      <c r="H21" s="41"/>
      <c r="I21" s="50" t="s">
        <v>31</v>
      </c>
      <c r="K21" s="50" t="s">
        <v>31</v>
      </c>
    </row>
    <row r="22" spans="2:11" ht="78" customHeight="1">
      <c r="B22" s="39">
        <f t="shared" si="1"/>
        <v>6.13</v>
      </c>
      <c r="C22" s="39"/>
      <c r="D22" s="40" t="s">
        <v>141</v>
      </c>
      <c r="E22" s="39"/>
      <c r="F22" s="42"/>
      <c r="G22" s="39"/>
      <c r="H22" s="41"/>
      <c r="I22" s="50" t="s">
        <v>31</v>
      </c>
      <c r="K22" s="50" t="s">
        <v>31</v>
      </c>
    </row>
    <row r="23" spans="2:11" ht="54.75" customHeight="1">
      <c r="B23" s="39">
        <f t="shared" si="1"/>
        <v>6.14</v>
      </c>
      <c r="C23" s="39"/>
      <c r="D23" s="40" t="s">
        <v>142</v>
      </c>
      <c r="E23" s="39"/>
      <c r="F23" s="42"/>
      <c r="G23" s="39"/>
      <c r="H23" s="41"/>
      <c r="I23" s="50" t="s">
        <v>31</v>
      </c>
      <c r="K23" s="50" t="s">
        <v>31</v>
      </c>
    </row>
    <row r="24" spans="2:11" ht="42" customHeight="1">
      <c r="B24" s="39">
        <f t="shared" si="1"/>
        <v>6.15</v>
      </c>
      <c r="C24" s="39"/>
      <c r="D24" s="40" t="s">
        <v>143</v>
      </c>
      <c r="E24" s="39"/>
      <c r="F24" s="42"/>
      <c r="G24" s="39"/>
      <c r="H24" s="41"/>
      <c r="I24" s="50" t="s">
        <v>31</v>
      </c>
      <c r="K24" s="50" t="s">
        <v>31</v>
      </c>
    </row>
    <row r="25" spans="2:11" ht="12">
      <c r="D25" s="33" t="s">
        <v>144</v>
      </c>
      <c r="I25" s="25"/>
    </row>
    <row r="26" spans="2:11" ht="26.45">
      <c r="B26" s="39">
        <f>6+(ROW(B26)-10)/100</f>
        <v>6.16</v>
      </c>
      <c r="C26" s="39"/>
      <c r="D26" s="40" t="s">
        <v>145</v>
      </c>
      <c r="E26" s="39"/>
      <c r="F26" s="42"/>
      <c r="G26" s="39"/>
      <c r="H26" s="41"/>
      <c r="I26" s="50" t="s">
        <v>31</v>
      </c>
      <c r="K26" s="50" t="s">
        <v>31</v>
      </c>
    </row>
    <row r="27" spans="2:11" ht="12">
      <c r="D27" s="33" t="s">
        <v>146</v>
      </c>
    </row>
    <row r="28" spans="2:11" ht="52.9">
      <c r="B28" s="39">
        <f>6+(ROW(B28)-11)/100</f>
        <v>6.17</v>
      </c>
      <c r="C28" s="39"/>
      <c r="D28" s="40" t="s">
        <v>147</v>
      </c>
      <c r="E28" s="39"/>
      <c r="F28" s="42"/>
      <c r="G28" s="39"/>
      <c r="H28" s="41"/>
      <c r="I28" s="50" t="s">
        <v>31</v>
      </c>
      <c r="K28" s="50" t="s">
        <v>31</v>
      </c>
    </row>
    <row r="29" spans="2:11" ht="79.150000000000006">
      <c r="B29" s="39">
        <f t="shared" ref="B29:B30" si="2">6+(ROW(B29)-11)/100</f>
        <v>6.18</v>
      </c>
      <c r="C29" s="39"/>
      <c r="D29" s="40" t="s">
        <v>148</v>
      </c>
      <c r="E29" s="39"/>
      <c r="F29" s="42"/>
      <c r="G29" s="39"/>
      <c r="H29" s="41"/>
      <c r="I29" s="50" t="s">
        <v>31</v>
      </c>
      <c r="K29" s="50" t="s">
        <v>31</v>
      </c>
    </row>
    <row r="30" spans="2:11" ht="39.6">
      <c r="B30" s="39">
        <f t="shared" si="2"/>
        <v>6.19</v>
      </c>
      <c r="C30" s="39"/>
      <c r="D30" s="40" t="s">
        <v>149</v>
      </c>
      <c r="E30" s="39"/>
      <c r="F30" s="42"/>
      <c r="G30" s="39"/>
      <c r="H30" s="41"/>
      <c r="I30" s="50" t="s">
        <v>31</v>
      </c>
      <c r="K30" s="50" t="s">
        <v>31</v>
      </c>
    </row>
    <row r="31" spans="2:11" ht="12">
      <c r="D31" s="33" t="s">
        <v>150</v>
      </c>
    </row>
    <row r="32" spans="2:11" ht="79.150000000000006">
      <c r="B32" s="39">
        <f>6+(ROW(B32)-12)/100</f>
        <v>6.2</v>
      </c>
      <c r="C32" s="39"/>
      <c r="D32" s="40" t="s">
        <v>151</v>
      </c>
      <c r="E32" s="39"/>
      <c r="F32" s="42"/>
      <c r="G32" s="39"/>
      <c r="H32" s="41"/>
      <c r="I32" s="50" t="s">
        <v>31</v>
      </c>
      <c r="K32" s="50" t="s">
        <v>31</v>
      </c>
    </row>
    <row r="33" spans="2:11" ht="39.6">
      <c r="B33" s="39">
        <f t="shared" ref="B33:B39" si="3">6+(ROW(B33)-12)/100</f>
        <v>6.21</v>
      </c>
      <c r="C33" s="39"/>
      <c r="D33" s="44" t="s">
        <v>152</v>
      </c>
      <c r="E33" s="39"/>
      <c r="F33" s="42"/>
      <c r="G33" s="39"/>
      <c r="H33" s="41"/>
      <c r="I33" s="39"/>
      <c r="K33" s="39"/>
    </row>
    <row r="34" spans="2:11" ht="26.45">
      <c r="B34" s="39">
        <f t="shared" si="3"/>
        <v>6.22</v>
      </c>
      <c r="C34" s="39"/>
      <c r="D34" s="44" t="s">
        <v>153</v>
      </c>
      <c r="E34" s="39"/>
      <c r="F34" s="42"/>
      <c r="G34" s="39"/>
      <c r="H34" s="41"/>
      <c r="I34" s="39"/>
      <c r="K34" s="39"/>
    </row>
    <row r="35" spans="2:11" ht="66">
      <c r="B35" s="39">
        <f t="shared" si="3"/>
        <v>6.23</v>
      </c>
      <c r="C35" s="39"/>
      <c r="D35" s="40" t="s">
        <v>154</v>
      </c>
      <c r="E35" s="39"/>
      <c r="F35" s="42"/>
      <c r="G35" s="39"/>
      <c r="H35" s="41"/>
      <c r="I35" s="50" t="s">
        <v>31</v>
      </c>
      <c r="K35" s="50" t="s">
        <v>31</v>
      </c>
    </row>
    <row r="36" spans="2:11" ht="39.6">
      <c r="B36" s="39">
        <f t="shared" si="3"/>
        <v>6.24</v>
      </c>
      <c r="C36" s="39"/>
      <c r="D36" s="40" t="s">
        <v>155</v>
      </c>
      <c r="E36" s="39"/>
      <c r="F36" s="42"/>
      <c r="G36" s="39"/>
      <c r="H36" s="41"/>
      <c r="I36" s="50" t="s">
        <v>31</v>
      </c>
      <c r="K36" s="50" t="s">
        <v>31</v>
      </c>
    </row>
    <row r="37" spans="2:11" ht="79.150000000000006">
      <c r="B37" s="39">
        <f t="shared" si="3"/>
        <v>6.25</v>
      </c>
      <c r="C37" s="39"/>
      <c r="D37" s="40" t="s">
        <v>156</v>
      </c>
      <c r="E37" s="39"/>
      <c r="F37" s="42"/>
      <c r="G37" s="39"/>
      <c r="H37" s="41"/>
      <c r="I37" s="50" t="s">
        <v>31</v>
      </c>
      <c r="K37" s="50" t="s">
        <v>31</v>
      </c>
    </row>
    <row r="38" spans="2:11" ht="66">
      <c r="B38" s="39">
        <f t="shared" si="3"/>
        <v>6.26</v>
      </c>
      <c r="C38" s="39"/>
      <c r="D38" s="40" t="s">
        <v>157</v>
      </c>
      <c r="E38" s="39"/>
      <c r="F38" s="42"/>
      <c r="G38" s="39"/>
      <c r="H38" s="41"/>
      <c r="I38" s="50" t="s">
        <v>31</v>
      </c>
      <c r="K38" s="50" t="s">
        <v>31</v>
      </c>
    </row>
    <row r="39" spans="2:11" ht="39.6">
      <c r="B39" s="39">
        <f t="shared" si="3"/>
        <v>6.27</v>
      </c>
      <c r="C39" s="39"/>
      <c r="D39" s="40" t="s">
        <v>158</v>
      </c>
      <c r="E39" s="39"/>
      <c r="F39" s="42"/>
      <c r="G39" s="39"/>
      <c r="H39" s="41"/>
      <c r="I39" s="50" t="s">
        <v>31</v>
      </c>
      <c r="K39" s="50" t="s">
        <v>31</v>
      </c>
    </row>
    <row r="40" spans="2:11" ht="12">
      <c r="D40" s="33" t="s">
        <v>159</v>
      </c>
    </row>
    <row r="41" spans="2:11" ht="39.6">
      <c r="B41" s="39">
        <f>6+(ROW(B41)-15)/100</f>
        <v>6.26</v>
      </c>
      <c r="C41" s="39"/>
      <c r="D41" s="40" t="s">
        <v>160</v>
      </c>
      <c r="E41" s="39"/>
      <c r="F41" s="42"/>
      <c r="G41" s="39"/>
      <c r="H41" s="41"/>
      <c r="I41" s="50" t="s">
        <v>31</v>
      </c>
      <c r="K41" s="50" t="s">
        <v>31</v>
      </c>
    </row>
    <row r="42" spans="2:11" ht="13.15">
      <c r="B42" s="39">
        <f t="shared" ref="B42:B43" si="4">6+(ROW(B42)-15)/100</f>
        <v>6.27</v>
      </c>
      <c r="C42" s="39"/>
      <c r="D42" s="40" t="s">
        <v>161</v>
      </c>
      <c r="E42" s="39"/>
      <c r="F42" s="42"/>
      <c r="G42" s="39"/>
      <c r="H42" s="41"/>
      <c r="I42" s="50" t="s">
        <v>31</v>
      </c>
      <c r="K42" s="50" t="s">
        <v>31</v>
      </c>
    </row>
    <row r="43" spans="2:11" ht="26.45">
      <c r="B43" s="39">
        <f t="shared" si="4"/>
        <v>6.28</v>
      </c>
      <c r="C43" s="39"/>
      <c r="D43" s="40" t="s">
        <v>162</v>
      </c>
      <c r="E43" s="39"/>
      <c r="F43" s="42"/>
      <c r="G43" s="39"/>
      <c r="H43" s="41"/>
      <c r="I43" s="50" t="s">
        <v>31</v>
      </c>
      <c r="K43" s="50" t="s">
        <v>31</v>
      </c>
    </row>
    <row r="44" spans="2:11" ht="12">
      <c r="D44" s="33" t="s">
        <v>163</v>
      </c>
    </row>
    <row r="45" spans="2:11" ht="39.6">
      <c r="B45" s="39">
        <f>6+(ROW(B45)-16)/100</f>
        <v>6.29</v>
      </c>
      <c r="C45" s="39"/>
      <c r="D45" s="40" t="s">
        <v>164</v>
      </c>
      <c r="E45" s="39"/>
      <c r="F45" s="42"/>
      <c r="G45" s="39"/>
      <c r="H45" s="41"/>
      <c r="I45" s="50" t="s">
        <v>31</v>
      </c>
      <c r="K45" s="50" t="s">
        <v>31</v>
      </c>
    </row>
    <row r="46" spans="2:11" ht="26.45">
      <c r="B46" s="39">
        <f>6+(ROW(B46)-16)/100</f>
        <v>6.3</v>
      </c>
      <c r="C46" s="39"/>
      <c r="D46" s="40" t="s">
        <v>165</v>
      </c>
      <c r="E46" s="39"/>
      <c r="F46" s="42"/>
      <c r="G46" s="39"/>
      <c r="H46" s="41"/>
      <c r="I46" s="50" t="s">
        <v>31</v>
      </c>
      <c r="K46" s="50" t="s">
        <v>31</v>
      </c>
    </row>
    <row r="47" spans="2:11" ht="13.15">
      <c r="D47" s="33" t="s">
        <v>166</v>
      </c>
      <c r="I47" s="50"/>
      <c r="K47" s="50"/>
    </row>
    <row r="48" spans="2:11" ht="66">
      <c r="B48" s="39">
        <f>6+(ROW(B48)-17)/100</f>
        <v>6.31</v>
      </c>
      <c r="C48" s="39"/>
      <c r="D48" s="40" t="s">
        <v>167</v>
      </c>
      <c r="E48" s="39"/>
      <c r="F48" s="42"/>
      <c r="G48" s="39"/>
      <c r="H48" s="41"/>
      <c r="I48" s="50" t="s">
        <v>31</v>
      </c>
      <c r="K48" s="50" t="s">
        <v>31</v>
      </c>
    </row>
    <row r="49" spans="2:11" ht="39.6">
      <c r="B49" s="39">
        <f>6+(ROW(B49)-17)/100</f>
        <v>6.32</v>
      </c>
      <c r="C49" s="39"/>
      <c r="D49" s="40" t="s">
        <v>168</v>
      </c>
      <c r="E49" s="39"/>
      <c r="F49" s="42"/>
      <c r="G49" s="39"/>
      <c r="H49" s="41"/>
      <c r="I49" s="50" t="s">
        <v>31</v>
      </c>
      <c r="K49" s="50" t="s">
        <v>31</v>
      </c>
    </row>
    <row r="50" spans="2:11" ht="13.15">
      <c r="D50" s="33" t="s">
        <v>169</v>
      </c>
      <c r="I50" s="50"/>
      <c r="K50" s="50"/>
    </row>
    <row r="51" spans="2:11" ht="26.45">
      <c r="B51" s="39">
        <f>6+(ROW(B51)-18)/100</f>
        <v>6.33</v>
      </c>
      <c r="C51" s="39"/>
      <c r="D51" s="40" t="s">
        <v>170</v>
      </c>
      <c r="E51" s="39"/>
      <c r="F51" s="42"/>
      <c r="G51" s="39"/>
      <c r="H51" s="41"/>
      <c r="I51" s="50" t="s">
        <v>31</v>
      </c>
      <c r="K51" s="50" t="s">
        <v>31</v>
      </c>
    </row>
    <row r="52" spans="2:11" ht="66">
      <c r="B52" s="39">
        <f t="shared" ref="B52:B58" si="5">6+(ROW(B52)-18)/100</f>
        <v>6.34</v>
      </c>
      <c r="C52" s="39"/>
      <c r="D52" s="40" t="s">
        <v>171</v>
      </c>
      <c r="E52" s="39"/>
      <c r="F52" s="42"/>
      <c r="G52" s="39"/>
      <c r="H52" s="41"/>
      <c r="I52" s="50" t="s">
        <v>31</v>
      </c>
      <c r="K52" s="50" t="s">
        <v>31</v>
      </c>
    </row>
    <row r="53" spans="2:11" ht="39.6">
      <c r="B53" s="39">
        <f t="shared" si="5"/>
        <v>6.35</v>
      </c>
      <c r="C53" s="39"/>
      <c r="D53" s="40" t="s">
        <v>172</v>
      </c>
      <c r="E53" s="39"/>
      <c r="F53" s="42"/>
      <c r="G53" s="39"/>
      <c r="H53" s="41"/>
      <c r="I53" s="50" t="s">
        <v>31</v>
      </c>
      <c r="K53" s="50" t="s">
        <v>31</v>
      </c>
    </row>
    <row r="54" spans="2:11" ht="26.45">
      <c r="B54" s="39">
        <f t="shared" si="5"/>
        <v>6.36</v>
      </c>
      <c r="C54" s="39"/>
      <c r="D54" s="40" t="s">
        <v>173</v>
      </c>
      <c r="E54" s="39"/>
      <c r="F54" s="42"/>
      <c r="G54" s="39"/>
      <c r="H54" s="41"/>
      <c r="I54" s="50" t="s">
        <v>31</v>
      </c>
      <c r="K54" s="50" t="s">
        <v>31</v>
      </c>
    </row>
    <row r="55" spans="2:11" ht="39.6">
      <c r="B55" s="39">
        <f t="shared" si="5"/>
        <v>6.37</v>
      </c>
      <c r="C55" s="39"/>
      <c r="D55" s="40" t="s">
        <v>174</v>
      </c>
      <c r="E55" s="39"/>
      <c r="F55" s="42"/>
      <c r="G55" s="39"/>
      <c r="H55" s="41"/>
      <c r="I55" s="50" t="s">
        <v>31</v>
      </c>
      <c r="K55" s="50" t="s">
        <v>31</v>
      </c>
    </row>
    <row r="56" spans="2:11" ht="52.9">
      <c r="B56" s="39">
        <f t="shared" si="5"/>
        <v>6.38</v>
      </c>
      <c r="C56" s="39"/>
      <c r="D56" s="40" t="s">
        <v>175</v>
      </c>
      <c r="E56" s="39"/>
      <c r="F56" s="39"/>
      <c r="G56" s="39"/>
      <c r="H56" s="40"/>
      <c r="I56" s="50" t="s">
        <v>31</v>
      </c>
      <c r="K56" s="50" t="s">
        <v>31</v>
      </c>
    </row>
    <row r="57" spans="2:11" ht="39.6">
      <c r="B57" s="39">
        <f t="shared" si="5"/>
        <v>6.39</v>
      </c>
      <c r="C57" s="39"/>
      <c r="D57" s="40" t="s">
        <v>176</v>
      </c>
      <c r="E57" s="39"/>
      <c r="F57" s="39"/>
      <c r="G57" s="39"/>
      <c r="H57" s="40"/>
      <c r="I57" s="50" t="s">
        <v>31</v>
      </c>
      <c r="K57" s="50" t="s">
        <v>31</v>
      </c>
    </row>
    <row r="58" spans="2:11" ht="26.45">
      <c r="B58" s="39">
        <f t="shared" si="5"/>
        <v>6.4</v>
      </c>
      <c r="C58" s="39"/>
      <c r="D58" s="40" t="s">
        <v>177</v>
      </c>
      <c r="E58" s="39"/>
      <c r="F58" s="42"/>
      <c r="G58" s="39"/>
      <c r="H58" s="40"/>
      <c r="I58" s="50" t="s">
        <v>31</v>
      </c>
      <c r="K58" s="50" t="s">
        <v>31</v>
      </c>
    </row>
    <row r="60" spans="2:11">
      <c r="E60" s="28"/>
      <c r="F60" s="28"/>
      <c r="G60" s="28"/>
      <c r="H60" s="28"/>
    </row>
  </sheetData>
  <mergeCells count="4">
    <mergeCell ref="B1:C1"/>
    <mergeCell ref="B2:C2"/>
    <mergeCell ref="B3:C3"/>
    <mergeCell ref="G5:G6"/>
  </mergeCells>
  <conditionalFormatting sqref="I26 K26 K16:K24 I28:I30 K28:K30 I32:I39 K32:K39 I41:I43 K41:K43 I45:I58 K45:K58 I10:I24 K9:L14">
    <cfRule type="expression" dxfId="50" priority="7" stopIfTrue="1">
      <formula>RIGHT(I9,14)="partly pending"</formula>
    </cfRule>
    <cfRule type="expression" dxfId="49" priority="8" stopIfTrue="1">
      <formula>RIGHT(I9,8)="received"</formula>
    </cfRule>
    <cfRule type="expression" dxfId="48" priority="9" stopIfTrue="1">
      <formula>RIGHT(I9,4)="open"</formula>
    </cfRule>
  </conditionalFormatting>
  <conditionalFormatting sqref="I9">
    <cfRule type="expression" dxfId="47" priority="4" stopIfTrue="1">
      <formula>RIGHT(I9,14)="partly pending"</formula>
    </cfRule>
    <cfRule type="expression" dxfId="46" priority="5" stopIfTrue="1">
      <formula>RIGHT(I9,8)="received"</formula>
    </cfRule>
    <cfRule type="expression" dxfId="45" priority="6" stopIfTrue="1">
      <formula>RIGHT(I9,4)="open"</formula>
    </cfRule>
  </conditionalFormatting>
  <dataValidations disablePrompts="1" count="1">
    <dataValidation type="list" allowBlank="1" sqref="L9:L14 I9:I58 K9:K58" xr:uid="{EC358770-2387-4A04-A8CC-D98F4E500D5A}">
      <formula1>Categories</formula1>
    </dataValidation>
  </dataValidations>
  <pageMargins left="0.74803149606299213" right="0.51181102362204722" top="0.51181102362204722" bottom="0.77" header="0.51181102362204722" footer="0.51181102362204722"/>
  <pageSetup paperSize="9" fitToHeight="5" orientation="landscape" r:id="rId1"/>
  <headerFooter alignWithMargins="0">
    <oddFooter>&amp;RPage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9F7DF-7E63-47F1-ABCF-6086F3487E79}">
  <dimension ref="B1:M27"/>
  <sheetViews>
    <sheetView showGridLines="0" zoomScale="65" zoomScaleNormal="85" workbookViewId="0">
      <selection activeCell="D4" sqref="D4"/>
    </sheetView>
  </sheetViews>
  <sheetFormatPr defaultColWidth="9.28515625" defaultRowHeight="13.15" outlineLevelCol="1"/>
  <cols>
    <col min="1" max="1" width="2.5703125" style="28" customWidth="1"/>
    <col min="2" max="2" width="5.5703125" style="28" customWidth="1"/>
    <col min="3" max="3" width="9.7109375" style="28" customWidth="1"/>
    <col min="4" max="4" width="45.7109375" style="59" customWidth="1"/>
    <col min="5" max="5" width="9.7109375" style="25" hidden="1" customWidth="1" outlineLevel="1"/>
    <col min="6" max="6" width="10.140625" style="25" hidden="1" customWidth="1" outlineLevel="1"/>
    <col min="7" max="7" width="12.85546875" style="25" hidden="1" customWidth="1" outlineLevel="1"/>
    <col min="8" max="8" width="40.7109375" style="25" customWidth="1" collapsed="1"/>
    <col min="9" max="9" width="16.140625" style="28" customWidth="1"/>
    <col min="10" max="10" width="1.85546875" style="28" customWidth="1"/>
    <col min="11" max="12" width="9.28515625" style="28" hidden="1" customWidth="1" outlineLevel="1"/>
    <col min="13" max="13" width="9.28515625" style="28" collapsed="1"/>
    <col min="14" max="16384" width="9.28515625" style="28"/>
  </cols>
  <sheetData>
    <row r="1" spans="2:12" ht="24.75" customHeight="1">
      <c r="B1" s="67"/>
      <c r="C1" s="67"/>
      <c r="D1" s="56" t="str">
        <f>+Header!A3</f>
        <v>Checkliste</v>
      </c>
      <c r="E1" s="23"/>
      <c r="F1" s="24"/>
      <c r="H1" s="26" t="s">
        <v>15</v>
      </c>
      <c r="I1" s="27">
        <f>+Header!A17</f>
        <v>44552</v>
      </c>
    </row>
    <row r="2" spans="2:12" ht="15.75" customHeight="1">
      <c r="B2" s="67" t="s">
        <v>16</v>
      </c>
      <c r="C2" s="67"/>
      <c r="D2" s="57" t="str">
        <f>+Header!B4</f>
        <v>PEGASUS</v>
      </c>
      <c r="E2" s="23"/>
      <c r="F2" s="24"/>
      <c r="G2" s="24"/>
      <c r="H2" s="24"/>
      <c r="I2" s="24"/>
    </row>
    <row r="3" spans="2:12" ht="15.6">
      <c r="B3" s="68" t="s">
        <v>88</v>
      </c>
      <c r="C3" s="68"/>
      <c r="D3" s="58" t="s">
        <v>178</v>
      </c>
      <c r="E3" s="29"/>
      <c r="F3" s="30"/>
      <c r="G3" s="30"/>
      <c r="H3" s="30"/>
      <c r="I3" s="30"/>
    </row>
    <row r="4" spans="2:12">
      <c r="K4" s="33"/>
    </row>
    <row r="5" spans="2:12">
      <c r="B5" s="34" t="s">
        <v>19</v>
      </c>
      <c r="C5" s="35" t="s">
        <v>20</v>
      </c>
      <c r="D5" s="35" t="s">
        <v>179</v>
      </c>
      <c r="E5" s="35" t="s">
        <v>22</v>
      </c>
      <c r="F5" s="35" t="s">
        <v>23</v>
      </c>
      <c r="G5" s="69" t="s">
        <v>24</v>
      </c>
      <c r="H5" s="35" t="s">
        <v>25</v>
      </c>
      <c r="I5" s="51" t="s">
        <v>26</v>
      </c>
      <c r="K5" s="51" t="s">
        <v>27</v>
      </c>
      <c r="L5" s="51" t="s">
        <v>28</v>
      </c>
    </row>
    <row r="6" spans="2:12">
      <c r="B6" s="36"/>
      <c r="C6" s="37"/>
      <c r="D6" s="60"/>
      <c r="E6" s="37" t="s">
        <v>29</v>
      </c>
      <c r="F6" s="37" t="s">
        <v>29</v>
      </c>
      <c r="G6" s="70"/>
      <c r="H6" s="37"/>
      <c r="I6" s="49"/>
      <c r="K6" s="49"/>
      <c r="L6" s="49"/>
    </row>
    <row r="8" spans="2:12">
      <c r="D8" s="53" t="s">
        <v>180</v>
      </c>
    </row>
    <row r="9" spans="2:12" ht="43.5" customHeight="1">
      <c r="B9" s="39">
        <f>8+(ROW(B9)-8)/100</f>
        <v>8.01</v>
      </c>
      <c r="C9" s="39"/>
      <c r="D9" s="40" t="s">
        <v>181</v>
      </c>
      <c r="E9" s="39"/>
      <c r="F9" s="39"/>
      <c r="G9" s="39"/>
      <c r="H9" s="40"/>
      <c r="I9" s="50" t="s">
        <v>31</v>
      </c>
      <c r="K9" s="50" t="s">
        <v>31</v>
      </c>
      <c r="L9" s="50" t="s">
        <v>31</v>
      </c>
    </row>
    <row r="10" spans="2:12" ht="34.5" customHeight="1">
      <c r="B10" s="39">
        <f t="shared" ref="B10:B13" si="0">8+(ROW(B10)-8)/100</f>
        <v>8.02</v>
      </c>
      <c r="C10" s="39"/>
      <c r="D10" s="40" t="s">
        <v>182</v>
      </c>
      <c r="E10" s="39"/>
      <c r="F10" s="39"/>
      <c r="G10" s="39"/>
      <c r="H10" s="40"/>
      <c r="I10" s="50" t="s">
        <v>31</v>
      </c>
      <c r="K10" s="50" t="s">
        <v>31</v>
      </c>
      <c r="L10" s="50" t="s">
        <v>31</v>
      </c>
    </row>
    <row r="11" spans="2:12" ht="36.75" customHeight="1">
      <c r="B11" s="39">
        <f t="shared" si="0"/>
        <v>8.0299999999999994</v>
      </c>
      <c r="C11" s="39"/>
      <c r="D11" s="61" t="s">
        <v>183</v>
      </c>
      <c r="E11" s="39"/>
      <c r="F11" s="39"/>
      <c r="G11" s="39"/>
      <c r="H11" s="40"/>
      <c r="I11" s="50" t="s">
        <v>31</v>
      </c>
      <c r="K11" s="50" t="s">
        <v>31</v>
      </c>
      <c r="L11" s="50" t="s">
        <v>31</v>
      </c>
    </row>
    <row r="12" spans="2:12" ht="33" customHeight="1">
      <c r="B12" s="39">
        <f t="shared" si="0"/>
        <v>8.0399999999999991</v>
      </c>
      <c r="C12" s="39"/>
      <c r="D12" s="61" t="s">
        <v>184</v>
      </c>
      <c r="E12" s="39"/>
      <c r="F12" s="39"/>
      <c r="G12" s="39"/>
      <c r="H12" s="40"/>
      <c r="I12" s="50" t="s">
        <v>31</v>
      </c>
      <c r="K12" s="50" t="s">
        <v>31</v>
      </c>
      <c r="L12" s="50" t="s">
        <v>31</v>
      </c>
    </row>
    <row r="13" spans="2:12" ht="26.45">
      <c r="B13" s="39">
        <f t="shared" si="0"/>
        <v>8.0500000000000007</v>
      </c>
      <c r="C13" s="39"/>
      <c r="D13" s="61" t="s">
        <v>185</v>
      </c>
      <c r="E13" s="39"/>
      <c r="F13" s="39"/>
      <c r="G13" s="39"/>
      <c r="H13" s="40"/>
      <c r="I13" s="50" t="s">
        <v>31</v>
      </c>
      <c r="K13" s="50" t="s">
        <v>31</v>
      </c>
      <c r="L13" s="50" t="s">
        <v>31</v>
      </c>
    </row>
    <row r="14" spans="2:12" ht="28.9" customHeight="1">
      <c r="D14" s="53" t="s">
        <v>186</v>
      </c>
    </row>
    <row r="15" spans="2:12" ht="55.5" customHeight="1">
      <c r="B15" s="39">
        <f>8+(ROW(B15)-8-1)/100</f>
        <v>8.06</v>
      </c>
      <c r="C15" s="39"/>
      <c r="D15" s="40" t="s">
        <v>187</v>
      </c>
      <c r="E15" s="39"/>
      <c r="F15" s="39"/>
      <c r="G15" s="39"/>
      <c r="H15" s="39"/>
      <c r="I15" s="50" t="s">
        <v>31</v>
      </c>
      <c r="K15" s="50" t="s">
        <v>31</v>
      </c>
      <c r="L15" s="50" t="s">
        <v>31</v>
      </c>
    </row>
    <row r="16" spans="2:12" ht="20.45" customHeight="1">
      <c r="B16" s="39">
        <f>8+(ROW(B16)-8-1)/100</f>
        <v>8.07</v>
      </c>
      <c r="C16" s="39"/>
      <c r="D16" s="40" t="s">
        <v>188</v>
      </c>
      <c r="E16" s="39"/>
      <c r="F16" s="39"/>
      <c r="G16" s="39"/>
      <c r="H16" s="40"/>
      <c r="I16" s="50" t="s">
        <v>31</v>
      </c>
      <c r="K16" s="50" t="s">
        <v>31</v>
      </c>
      <c r="L16" s="50" t="s">
        <v>31</v>
      </c>
    </row>
    <row r="17" spans="2:12" ht="26.45">
      <c r="B17" s="39">
        <f t="shared" ref="B17:B20" si="1">8+(ROW(B17)-8-1)/100</f>
        <v>8.08</v>
      </c>
      <c r="C17" s="39"/>
      <c r="D17" s="61" t="s">
        <v>189</v>
      </c>
      <c r="E17" s="39"/>
      <c r="F17" s="39"/>
      <c r="G17" s="39"/>
      <c r="H17" s="41"/>
      <c r="I17" s="50" t="s">
        <v>31</v>
      </c>
      <c r="K17" s="50" t="s">
        <v>31</v>
      </c>
      <c r="L17" s="50" t="s">
        <v>31</v>
      </c>
    </row>
    <row r="18" spans="2:12" ht="21.75" customHeight="1">
      <c r="B18" s="39">
        <f t="shared" si="1"/>
        <v>8.09</v>
      </c>
      <c r="C18" s="39"/>
      <c r="D18" s="61" t="s">
        <v>190</v>
      </c>
      <c r="E18" s="39"/>
      <c r="F18" s="39"/>
      <c r="G18" s="39"/>
      <c r="H18" s="41"/>
      <c r="I18" s="50" t="s">
        <v>31</v>
      </c>
      <c r="K18" s="50" t="s">
        <v>31</v>
      </c>
      <c r="L18" s="50" t="s">
        <v>31</v>
      </c>
    </row>
    <row r="19" spans="2:12" ht="39.6">
      <c r="B19" s="39">
        <f t="shared" si="1"/>
        <v>8.1</v>
      </c>
      <c r="C19" s="39"/>
      <c r="D19" s="62" t="s">
        <v>191</v>
      </c>
      <c r="E19" s="39"/>
      <c r="F19" s="39"/>
      <c r="G19" s="39"/>
      <c r="H19" s="40"/>
      <c r="I19" s="50" t="s">
        <v>31</v>
      </c>
      <c r="K19" s="50" t="s">
        <v>31</v>
      </c>
      <c r="L19" s="50" t="s">
        <v>31</v>
      </c>
    </row>
    <row r="20" spans="2:12" ht="26.45">
      <c r="B20" s="39">
        <f t="shared" si="1"/>
        <v>8.11</v>
      </c>
      <c r="C20" s="39"/>
      <c r="D20" s="40" t="s">
        <v>192</v>
      </c>
      <c r="E20" s="39"/>
      <c r="F20" s="39"/>
      <c r="G20" s="39"/>
      <c r="H20" s="39"/>
      <c r="I20" s="50" t="s">
        <v>31</v>
      </c>
      <c r="K20" s="50" t="s">
        <v>31</v>
      </c>
      <c r="L20" s="50" t="s">
        <v>31</v>
      </c>
    </row>
    <row r="21" spans="2:12" ht="25.9" customHeight="1">
      <c r="D21" s="53" t="s">
        <v>193</v>
      </c>
    </row>
    <row r="22" spans="2:12" ht="26.45" customHeight="1">
      <c r="B22" s="39">
        <f>8+(ROW(B22)-8-2)/100</f>
        <v>8.1199999999999992</v>
      </c>
      <c r="C22" s="39"/>
      <c r="D22" s="40" t="s">
        <v>194</v>
      </c>
      <c r="E22" s="39"/>
      <c r="F22" s="39"/>
      <c r="G22" s="39"/>
      <c r="H22" s="40"/>
      <c r="I22" s="50"/>
      <c r="K22" s="50" t="s">
        <v>31</v>
      </c>
      <c r="L22" s="50" t="s">
        <v>31</v>
      </c>
    </row>
    <row r="23" spans="2:12" ht="26.45">
      <c r="B23" s="39">
        <f t="shared" ref="B23:B24" si="2">8+(ROW(B23)-8-2)/100</f>
        <v>8.1300000000000008</v>
      </c>
      <c r="C23" s="39"/>
      <c r="D23" s="40" t="s">
        <v>195</v>
      </c>
      <c r="E23" s="39"/>
      <c r="F23" s="39"/>
      <c r="G23" s="39"/>
      <c r="H23" s="40"/>
      <c r="I23" s="50"/>
      <c r="K23" s="50" t="s">
        <v>31</v>
      </c>
      <c r="L23" s="50" t="s">
        <v>31</v>
      </c>
    </row>
    <row r="24" spans="2:12" ht="56.25" customHeight="1">
      <c r="B24" s="39">
        <f t="shared" si="2"/>
        <v>8.14</v>
      </c>
      <c r="C24" s="39"/>
      <c r="D24" s="61" t="s">
        <v>196</v>
      </c>
      <c r="E24" s="39"/>
      <c r="F24" s="39"/>
      <c r="G24" s="39"/>
      <c r="H24" s="40"/>
      <c r="I24" s="50"/>
      <c r="K24" s="50" t="s">
        <v>31</v>
      </c>
      <c r="L24" s="50" t="s">
        <v>31</v>
      </c>
    </row>
    <row r="25" spans="2:12" ht="78" customHeight="1"/>
    <row r="26" spans="2:12" ht="54.75" customHeight="1"/>
    <row r="27" spans="2:12" ht="42" customHeight="1"/>
  </sheetData>
  <mergeCells count="4">
    <mergeCell ref="B1:C1"/>
    <mergeCell ref="B2:C2"/>
    <mergeCell ref="B3:C3"/>
    <mergeCell ref="G5:G6"/>
  </mergeCells>
  <conditionalFormatting sqref="I22:I24">
    <cfRule type="expression" dxfId="44" priority="19" stopIfTrue="1">
      <formula>RIGHT(I22,14)="partly pending"</formula>
    </cfRule>
    <cfRule type="expression" dxfId="43" priority="20" stopIfTrue="1">
      <formula>RIGHT(I22,8)="received"</formula>
    </cfRule>
    <cfRule type="expression" dxfId="42" priority="21" stopIfTrue="1">
      <formula>RIGHT(I22,4)="open"</formula>
    </cfRule>
  </conditionalFormatting>
  <conditionalFormatting sqref="K9:K13 K23:K24 K15:K20">
    <cfRule type="expression" dxfId="41" priority="13" stopIfTrue="1">
      <formula>RIGHT(K9,14)="partly pending"</formula>
    </cfRule>
    <cfRule type="expression" dxfId="40" priority="14" stopIfTrue="1">
      <formula>RIGHT(K9,8)="received"</formula>
    </cfRule>
    <cfRule type="expression" dxfId="39" priority="15" stopIfTrue="1">
      <formula>RIGHT(K9,4)="open"</formula>
    </cfRule>
  </conditionalFormatting>
  <conditionalFormatting sqref="L9:L13 L23:L24 L15:L20">
    <cfRule type="expression" dxfId="38" priority="10" stopIfTrue="1">
      <formula>RIGHT(L9,14)="partly pending"</formula>
    </cfRule>
    <cfRule type="expression" dxfId="37" priority="11" stopIfTrue="1">
      <formula>RIGHT(L9,8)="received"</formula>
    </cfRule>
    <cfRule type="expression" dxfId="36" priority="12" stopIfTrue="1">
      <formula>RIGHT(L9,4)="open"</formula>
    </cfRule>
  </conditionalFormatting>
  <conditionalFormatting sqref="K22:L22">
    <cfRule type="expression" dxfId="35" priority="7" stopIfTrue="1">
      <formula>RIGHT(K22,14)="partly pending"</formula>
    </cfRule>
    <cfRule type="expression" dxfId="34" priority="8" stopIfTrue="1">
      <formula>RIGHT(K22,8)="received"</formula>
    </cfRule>
    <cfRule type="expression" dxfId="33" priority="9" stopIfTrue="1">
      <formula>RIGHT(K22,4)="open"</formula>
    </cfRule>
  </conditionalFormatting>
  <conditionalFormatting sqref="I9:I13">
    <cfRule type="expression" dxfId="32" priority="4" stopIfTrue="1">
      <formula>RIGHT(I9,14)="partly pending"</formula>
    </cfRule>
    <cfRule type="expression" dxfId="31" priority="5" stopIfTrue="1">
      <formula>RIGHT(I9,8)="received"</formula>
    </cfRule>
    <cfRule type="expression" dxfId="30" priority="6" stopIfTrue="1">
      <formula>RIGHT(I9,4)="open"</formula>
    </cfRule>
  </conditionalFormatting>
  <conditionalFormatting sqref="I15:I20">
    <cfRule type="expression" dxfId="29" priority="1" stopIfTrue="1">
      <formula>RIGHT(I15,14)="partly pending"</formula>
    </cfRule>
    <cfRule type="expression" dxfId="28" priority="2" stopIfTrue="1">
      <formula>RIGHT(I15,8)="received"</formula>
    </cfRule>
    <cfRule type="expression" dxfId="27" priority="3" stopIfTrue="1">
      <formula>RIGHT(I15,4)="open"</formula>
    </cfRule>
  </conditionalFormatting>
  <dataValidations disablePrompts="1" count="1">
    <dataValidation type="list" allowBlank="1" sqref="I22:I24 K9:L13 K22:L24 I9:I13 K15:L20 I15:I20" xr:uid="{931478C3-C899-4AB6-B9FA-9A9F197F996D}">
      <formula1>Categories</formula1>
    </dataValidation>
  </dataValidations>
  <pageMargins left="0.74803149606299213" right="0.51181102362204722" top="0.51181102362204722" bottom="0.77" header="0.51181102362204722" footer="0.51181102362204722"/>
  <pageSetup paperSize="9" fitToHeight="5" orientation="landscape" r:id="rId1"/>
  <headerFooter alignWithMargins="0">
    <oddFooter>&amp;RPage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6589-545B-4E41-964A-4C2189907287}">
  <dimension ref="B1:M31"/>
  <sheetViews>
    <sheetView showGridLines="0" zoomScale="85" zoomScaleNormal="85" workbookViewId="0">
      <selection activeCell="D4" sqref="D4"/>
    </sheetView>
  </sheetViews>
  <sheetFormatPr defaultColWidth="9.28515625" defaultRowHeight="14.45" outlineLevelCol="1"/>
  <cols>
    <col min="1" max="1" width="2.5703125" style="28" customWidth="1"/>
    <col min="2" max="2" width="5.5703125" style="28" customWidth="1"/>
    <col min="3" max="3" width="7.7109375" style="28" customWidth="1"/>
    <col min="4" max="4" width="45.7109375" style="28" customWidth="1"/>
    <col min="5" max="6" width="8.85546875" style="25" hidden="1" customWidth="1" outlineLevel="1"/>
    <col min="7" max="7" width="15.28515625" style="25" customWidth="1" collapsed="1"/>
    <col min="8" max="8" width="40.7109375" style="25" customWidth="1"/>
    <col min="9" max="9" width="21.42578125" style="28" customWidth="1"/>
    <col min="10" max="10" width="1.7109375" style="28" customWidth="1"/>
    <col min="11" max="11" width="9.28515625" style="28" hidden="1" customWidth="1" outlineLevel="1"/>
    <col min="12" max="12" width="16.28515625" hidden="1" customWidth="1" outlineLevel="1"/>
    <col min="13" max="13" width="9.28515625" style="28" collapsed="1"/>
    <col min="14" max="16384" width="9.28515625" style="28"/>
  </cols>
  <sheetData>
    <row r="1" spans="2:12" ht="24.75" customHeight="1">
      <c r="B1" s="67"/>
      <c r="C1" s="67"/>
      <c r="D1" s="22" t="str">
        <f>+Header!A3</f>
        <v>Checkliste</v>
      </c>
      <c r="E1" s="23"/>
      <c r="F1" s="24"/>
      <c r="H1" s="26" t="s">
        <v>15</v>
      </c>
      <c r="I1" s="27">
        <f>+Header!A17</f>
        <v>44552</v>
      </c>
    </row>
    <row r="2" spans="2:12" ht="15.75" customHeight="1">
      <c r="B2" s="67" t="s">
        <v>16</v>
      </c>
      <c r="C2" s="67"/>
      <c r="D2" s="7" t="str">
        <f>+Header!B4</f>
        <v>PEGASUS</v>
      </c>
      <c r="E2" s="23"/>
      <c r="F2" s="24"/>
      <c r="G2" s="24"/>
      <c r="H2" s="24"/>
      <c r="I2" s="24"/>
    </row>
    <row r="3" spans="2:12" ht="15.6">
      <c r="B3" s="68" t="s">
        <v>88</v>
      </c>
      <c r="C3" s="68"/>
      <c r="D3" s="58" t="s">
        <v>197</v>
      </c>
      <c r="E3" s="29"/>
      <c r="F3" s="30"/>
      <c r="G3" s="30"/>
      <c r="H3" s="30"/>
      <c r="I3" s="30"/>
    </row>
    <row r="4" spans="2:12">
      <c r="K4" s="33"/>
    </row>
    <row r="5" spans="2:12" ht="26.45">
      <c r="B5" s="34" t="s">
        <v>19</v>
      </c>
      <c r="C5" s="35" t="s">
        <v>20</v>
      </c>
      <c r="D5" s="35" t="s">
        <v>179</v>
      </c>
      <c r="E5" s="35" t="s">
        <v>22</v>
      </c>
      <c r="F5" s="35" t="s">
        <v>23</v>
      </c>
      <c r="G5" s="69" t="s">
        <v>24</v>
      </c>
      <c r="H5" s="35" t="s">
        <v>25</v>
      </c>
      <c r="I5" s="51" t="s">
        <v>26</v>
      </c>
      <c r="K5" s="51" t="s">
        <v>27</v>
      </c>
      <c r="L5" s="51" t="s">
        <v>28</v>
      </c>
    </row>
    <row r="6" spans="2:12" ht="13.15">
      <c r="B6" s="36"/>
      <c r="C6" s="37"/>
      <c r="D6" s="38"/>
      <c r="E6" s="37" t="s">
        <v>29</v>
      </c>
      <c r="F6" s="37" t="s">
        <v>29</v>
      </c>
      <c r="G6" s="70"/>
      <c r="H6" s="37"/>
      <c r="I6" s="49"/>
      <c r="K6" s="49"/>
      <c r="L6" s="49"/>
    </row>
    <row r="8" spans="2:12">
      <c r="D8" s="53" t="s">
        <v>198</v>
      </c>
    </row>
    <row r="9" spans="2:12" ht="21.75" customHeight="1">
      <c r="B9" s="39">
        <f>7+(ROW(B9)-8)/100</f>
        <v>7.01</v>
      </c>
      <c r="C9" s="39"/>
      <c r="D9" s="40" t="s">
        <v>199</v>
      </c>
      <c r="E9" s="39"/>
      <c r="F9" s="39"/>
      <c r="G9" s="39"/>
      <c r="H9" s="40"/>
      <c r="I9" s="50" t="s">
        <v>31</v>
      </c>
      <c r="K9" s="50" t="s">
        <v>31</v>
      </c>
      <c r="L9" s="50" t="s">
        <v>31</v>
      </c>
    </row>
    <row r="10" spans="2:12" ht="26.45">
      <c r="B10" s="39">
        <f t="shared" ref="B10:B16" si="0">7+(ROW(B10)-8)/100</f>
        <v>7.02</v>
      </c>
      <c r="C10" s="39"/>
      <c r="D10" s="40" t="s">
        <v>200</v>
      </c>
      <c r="E10" s="39"/>
      <c r="F10" s="39"/>
      <c r="G10" s="39"/>
      <c r="H10" s="40"/>
      <c r="I10" s="50" t="s">
        <v>31</v>
      </c>
      <c r="K10" s="50" t="s">
        <v>31</v>
      </c>
      <c r="L10" s="50" t="s">
        <v>31</v>
      </c>
    </row>
    <row r="11" spans="2:12" ht="24.6" customHeight="1">
      <c r="B11" s="39">
        <f t="shared" si="0"/>
        <v>7.03</v>
      </c>
      <c r="C11" s="39"/>
      <c r="D11" s="40" t="s">
        <v>201</v>
      </c>
      <c r="E11" s="39"/>
      <c r="F11" s="39"/>
      <c r="G11" s="39"/>
      <c r="H11" s="40"/>
      <c r="I11" s="50" t="s">
        <v>31</v>
      </c>
      <c r="K11" s="50" t="s">
        <v>31</v>
      </c>
      <c r="L11" s="50" t="s">
        <v>31</v>
      </c>
    </row>
    <row r="12" spans="2:12" ht="13.15">
      <c r="B12" s="39">
        <f t="shared" si="0"/>
        <v>7.04</v>
      </c>
      <c r="C12" s="39"/>
      <c r="D12" s="40" t="s">
        <v>202</v>
      </c>
      <c r="E12" s="39"/>
      <c r="F12" s="39"/>
      <c r="G12" s="39"/>
      <c r="H12" s="40"/>
      <c r="I12" s="50" t="s">
        <v>31</v>
      </c>
      <c r="K12" s="50" t="s">
        <v>31</v>
      </c>
      <c r="L12" s="50" t="s">
        <v>31</v>
      </c>
    </row>
    <row r="13" spans="2:12" ht="26.45">
      <c r="B13" s="39">
        <f t="shared" si="0"/>
        <v>7.05</v>
      </c>
      <c r="C13" s="39"/>
      <c r="D13" s="40" t="s">
        <v>203</v>
      </c>
      <c r="E13" s="39"/>
      <c r="F13" s="39"/>
      <c r="G13" s="39"/>
      <c r="H13" s="40"/>
      <c r="I13" s="50" t="s">
        <v>31</v>
      </c>
      <c r="K13" s="50" t="s">
        <v>31</v>
      </c>
      <c r="L13" s="50" t="s">
        <v>31</v>
      </c>
    </row>
    <row r="14" spans="2:12" ht="13.15">
      <c r="B14" s="39">
        <f t="shared" si="0"/>
        <v>7.06</v>
      </c>
      <c r="C14" s="39"/>
      <c r="D14" s="54" t="s">
        <v>204</v>
      </c>
      <c r="E14" s="39"/>
      <c r="F14" s="39"/>
      <c r="G14" s="39"/>
      <c r="H14" s="40"/>
      <c r="I14" s="50" t="s">
        <v>31</v>
      </c>
      <c r="K14" s="50" t="s">
        <v>31</v>
      </c>
      <c r="L14" s="50" t="s">
        <v>31</v>
      </c>
    </row>
    <row r="15" spans="2:12" ht="13.15">
      <c r="B15" s="39">
        <f t="shared" si="0"/>
        <v>7.07</v>
      </c>
      <c r="C15" s="39"/>
      <c r="D15" s="40" t="s">
        <v>205</v>
      </c>
      <c r="E15" s="39"/>
      <c r="F15" s="39"/>
      <c r="G15" s="39"/>
      <c r="H15" s="40"/>
      <c r="I15" s="50" t="s">
        <v>31</v>
      </c>
      <c r="K15" s="50" t="s">
        <v>31</v>
      </c>
      <c r="L15" s="50" t="s">
        <v>31</v>
      </c>
    </row>
    <row r="16" spans="2:12" ht="13.15">
      <c r="B16" s="39">
        <f t="shared" si="0"/>
        <v>7.08</v>
      </c>
      <c r="C16" s="39"/>
      <c r="D16" s="40" t="s">
        <v>206</v>
      </c>
      <c r="E16" s="39"/>
      <c r="F16" s="39"/>
      <c r="G16" s="39"/>
      <c r="H16" s="40"/>
      <c r="I16" s="50" t="s">
        <v>31</v>
      </c>
      <c r="K16" s="50" t="s">
        <v>31</v>
      </c>
      <c r="L16" s="50" t="s">
        <v>31</v>
      </c>
    </row>
    <row r="17" spans="2:12" ht="38.450000000000003" customHeight="1">
      <c r="D17" s="53" t="s">
        <v>207</v>
      </c>
      <c r="E17" s="28"/>
      <c r="F17" s="28"/>
      <c r="G17" s="63"/>
      <c r="H17" s="63"/>
      <c r="I17" s="25"/>
      <c r="K17" s="25"/>
    </row>
    <row r="18" spans="2:12" ht="13.15">
      <c r="B18" s="39">
        <f>7+(ROW(B18)-8-1)/100</f>
        <v>7.09</v>
      </c>
      <c r="C18" s="39"/>
      <c r="D18" s="40" t="s">
        <v>208</v>
      </c>
      <c r="E18" s="39"/>
      <c r="F18" s="39"/>
      <c r="G18" s="39"/>
      <c r="H18" s="40"/>
      <c r="I18" s="50" t="s">
        <v>31</v>
      </c>
      <c r="K18" s="50" t="s">
        <v>31</v>
      </c>
      <c r="L18" s="50" t="s">
        <v>31</v>
      </c>
    </row>
    <row r="19" spans="2:12" ht="26.45">
      <c r="B19" s="39">
        <f t="shared" ref="B19:B22" si="1">7+(ROW(B19)-8-1)/100</f>
        <v>7.1</v>
      </c>
      <c r="C19" s="39"/>
      <c r="D19" s="40" t="s">
        <v>209</v>
      </c>
      <c r="E19" s="39"/>
      <c r="F19" s="39"/>
      <c r="G19" s="39"/>
      <c r="H19" s="40"/>
      <c r="I19" s="50" t="s">
        <v>31</v>
      </c>
      <c r="K19" s="50" t="s">
        <v>31</v>
      </c>
      <c r="L19" s="50" t="s">
        <v>31</v>
      </c>
    </row>
    <row r="20" spans="2:12" ht="13.15">
      <c r="B20" s="39">
        <f t="shared" si="1"/>
        <v>7.11</v>
      </c>
      <c r="C20" s="39"/>
      <c r="D20" s="54" t="s">
        <v>210</v>
      </c>
      <c r="E20" s="39"/>
      <c r="F20" s="39"/>
      <c r="G20" s="39"/>
      <c r="H20" s="41"/>
      <c r="I20" s="50" t="s">
        <v>31</v>
      </c>
      <c r="K20" s="50" t="s">
        <v>31</v>
      </c>
      <c r="L20" s="50" t="s">
        <v>31</v>
      </c>
    </row>
    <row r="21" spans="2:12" ht="26.45">
      <c r="B21" s="39">
        <f t="shared" si="1"/>
        <v>7.12</v>
      </c>
      <c r="C21" s="39"/>
      <c r="D21" s="40" t="s">
        <v>211</v>
      </c>
      <c r="E21" s="39"/>
      <c r="F21" s="39"/>
      <c r="G21" s="39"/>
      <c r="H21" s="41"/>
      <c r="I21" s="50" t="s">
        <v>31</v>
      </c>
      <c r="K21" s="50" t="s">
        <v>31</v>
      </c>
      <c r="L21" s="50" t="s">
        <v>31</v>
      </c>
    </row>
    <row r="22" spans="2:12" ht="26.45">
      <c r="B22" s="39">
        <f t="shared" si="1"/>
        <v>7.13</v>
      </c>
      <c r="C22" s="65"/>
      <c r="D22" s="40" t="s">
        <v>212</v>
      </c>
      <c r="E22" s="65"/>
      <c r="F22" s="65"/>
      <c r="G22" s="65"/>
      <c r="H22" s="65"/>
      <c r="I22" s="50" t="s">
        <v>31</v>
      </c>
      <c r="K22" s="50" t="s">
        <v>31</v>
      </c>
      <c r="L22" s="50" t="s">
        <v>31</v>
      </c>
    </row>
    <row r="23" spans="2:12" ht="37.9" customHeight="1">
      <c r="D23" s="64" t="s">
        <v>213</v>
      </c>
      <c r="E23" s="28"/>
      <c r="F23" s="28"/>
      <c r="G23" s="28"/>
      <c r="I23" s="25"/>
      <c r="K23" s="25"/>
    </row>
    <row r="24" spans="2:12" ht="13.15">
      <c r="B24" s="39">
        <f>7+(ROW(B24)-8-2)/100</f>
        <v>7.14</v>
      </c>
      <c r="C24" s="39"/>
      <c r="D24" s="55" t="s">
        <v>214</v>
      </c>
      <c r="E24" s="39"/>
      <c r="F24" s="39"/>
      <c r="G24" s="39"/>
      <c r="H24" s="40"/>
      <c r="I24" s="50" t="s">
        <v>31</v>
      </c>
      <c r="K24" s="50" t="s">
        <v>31</v>
      </c>
      <c r="L24" s="50" t="s">
        <v>31</v>
      </c>
    </row>
    <row r="25" spans="2:12" ht="13.15">
      <c r="B25" s="39">
        <f t="shared" ref="B25:B27" si="2">7+(ROW(B25)-8-2)/100</f>
        <v>7.15</v>
      </c>
      <c r="C25" s="39"/>
      <c r="D25" s="40" t="s">
        <v>215</v>
      </c>
      <c r="E25" s="39"/>
      <c r="F25" s="39"/>
      <c r="G25" s="39"/>
      <c r="H25" s="40"/>
      <c r="I25" s="50" t="s">
        <v>31</v>
      </c>
      <c r="K25" s="50" t="s">
        <v>31</v>
      </c>
      <c r="L25" s="50" t="s">
        <v>31</v>
      </c>
    </row>
    <row r="26" spans="2:12" ht="30" customHeight="1">
      <c r="B26" s="39">
        <f t="shared" si="2"/>
        <v>7.16</v>
      </c>
      <c r="C26" s="39"/>
      <c r="D26" s="40" t="s">
        <v>216</v>
      </c>
      <c r="E26" s="39"/>
      <c r="F26" s="39"/>
      <c r="G26" s="39"/>
      <c r="H26" s="40"/>
      <c r="I26" s="50" t="s">
        <v>31</v>
      </c>
      <c r="K26" s="50" t="s">
        <v>31</v>
      </c>
      <c r="L26" s="50" t="s">
        <v>31</v>
      </c>
    </row>
    <row r="27" spans="2:12" ht="27.75" customHeight="1">
      <c r="B27" s="39">
        <f t="shared" si="2"/>
        <v>7.17</v>
      </c>
      <c r="C27" s="39"/>
      <c r="D27" s="40" t="s">
        <v>217</v>
      </c>
      <c r="E27" s="39"/>
      <c r="F27" s="42"/>
      <c r="G27" s="39"/>
      <c r="H27" s="41"/>
      <c r="I27" s="50" t="s">
        <v>31</v>
      </c>
      <c r="K27" s="50" t="s">
        <v>31</v>
      </c>
      <c r="L27" s="50" t="s">
        <v>31</v>
      </c>
    </row>
    <row r="29" spans="2:12" ht="78" customHeight="1"/>
    <row r="30" spans="2:12" ht="54.75" customHeight="1"/>
    <row r="31" spans="2:12" ht="42" customHeight="1"/>
  </sheetData>
  <mergeCells count="4">
    <mergeCell ref="B1:C1"/>
    <mergeCell ref="B2:C2"/>
    <mergeCell ref="B3:C3"/>
    <mergeCell ref="G5:G6"/>
  </mergeCells>
  <conditionalFormatting sqref="K9:L16">
    <cfRule type="expression" dxfId="26" priority="16" stopIfTrue="1">
      <formula>RIGHT(K9,14)="partly pending"</formula>
    </cfRule>
    <cfRule type="expression" dxfId="25" priority="17" stopIfTrue="1">
      <formula>RIGHT(K9,8)="received"</formula>
    </cfRule>
    <cfRule type="expression" dxfId="24" priority="18" stopIfTrue="1">
      <formula>RIGHT(K9,4)="open"</formula>
    </cfRule>
  </conditionalFormatting>
  <conditionalFormatting sqref="K18:L22">
    <cfRule type="expression" dxfId="23" priority="13" stopIfTrue="1">
      <formula>RIGHT(K18,14)="partly pending"</formula>
    </cfRule>
    <cfRule type="expression" dxfId="22" priority="14" stopIfTrue="1">
      <formula>RIGHT(K18,8)="received"</formula>
    </cfRule>
    <cfRule type="expression" dxfId="21" priority="15" stopIfTrue="1">
      <formula>RIGHT(K18,4)="open"</formula>
    </cfRule>
  </conditionalFormatting>
  <conditionalFormatting sqref="K24:L27">
    <cfRule type="expression" dxfId="20" priority="10" stopIfTrue="1">
      <formula>RIGHT(K24,14)="partly pending"</formula>
    </cfRule>
    <cfRule type="expression" dxfId="19" priority="11" stopIfTrue="1">
      <formula>RIGHT(K24,8)="received"</formula>
    </cfRule>
    <cfRule type="expression" dxfId="18" priority="12" stopIfTrue="1">
      <formula>RIGHT(K24,4)="open"</formula>
    </cfRule>
  </conditionalFormatting>
  <conditionalFormatting sqref="I9:I16">
    <cfRule type="expression" dxfId="17" priority="7" stopIfTrue="1">
      <formula>RIGHT(I9,14)="partly pending"</formula>
    </cfRule>
    <cfRule type="expression" dxfId="16" priority="8" stopIfTrue="1">
      <formula>RIGHT(I9,8)="received"</formula>
    </cfRule>
    <cfRule type="expression" dxfId="15" priority="9" stopIfTrue="1">
      <formula>RIGHT(I9,4)="open"</formula>
    </cfRule>
  </conditionalFormatting>
  <conditionalFormatting sqref="I18:I22">
    <cfRule type="expression" dxfId="14" priority="4" stopIfTrue="1">
      <formula>RIGHT(I18,14)="partly pending"</formula>
    </cfRule>
    <cfRule type="expression" dxfId="13" priority="5" stopIfTrue="1">
      <formula>RIGHT(I18,8)="received"</formula>
    </cfRule>
    <cfRule type="expression" dxfId="12" priority="6" stopIfTrue="1">
      <formula>RIGHT(I18,4)="open"</formula>
    </cfRule>
  </conditionalFormatting>
  <conditionalFormatting sqref="I24:I27">
    <cfRule type="expression" dxfId="11" priority="1" stopIfTrue="1">
      <formula>RIGHT(I24,14)="partly pending"</formula>
    </cfRule>
    <cfRule type="expression" dxfId="10" priority="2" stopIfTrue="1">
      <formula>RIGHT(I24,8)="received"</formula>
    </cfRule>
    <cfRule type="expression" dxfId="9" priority="3" stopIfTrue="1">
      <formula>RIGHT(I24,4)="open"</formula>
    </cfRule>
  </conditionalFormatting>
  <dataValidations count="1">
    <dataValidation type="list" allowBlank="1" sqref="K18:L22 I18:I22 K24:L27 K9:L16 I9:I16 I24:I27" xr:uid="{F0633AD5-8BEA-452B-A3BE-07DEDBDD3C2B}">
      <formula1>Categories</formula1>
    </dataValidation>
  </dataValidations>
  <pageMargins left="0.74803149606299213" right="0.51181102362204722" top="0.51181102362204722" bottom="0.77" header="0.51181102362204722" footer="0.51181102362204722"/>
  <pageSetup paperSize="9" fitToHeight="5" orientation="landscape" r:id="rId1"/>
  <headerFooter alignWithMargins="0">
    <oddFooter>&amp;RPage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88E33-2D8F-4386-B853-E04B5C886C52}">
  <dimension ref="B1:M18"/>
  <sheetViews>
    <sheetView showGridLines="0" zoomScale="78" zoomScaleNormal="78" workbookViewId="0">
      <selection activeCell="D4" sqref="D4"/>
    </sheetView>
  </sheetViews>
  <sheetFormatPr defaultColWidth="9.28515625" defaultRowHeight="13.15" outlineLevelCol="1"/>
  <cols>
    <col min="1" max="1" width="2.5703125" style="28" customWidth="1"/>
    <col min="2" max="2" width="5.5703125" style="28" customWidth="1"/>
    <col min="3" max="3" width="7.7109375" style="28" customWidth="1"/>
    <col min="4" max="4" width="45.7109375" style="59" customWidth="1"/>
    <col min="5" max="5" width="21.140625" style="25" hidden="1" customWidth="1" outlineLevel="1"/>
    <col min="6" max="6" width="16.140625" style="28" hidden="1" customWidth="1" outlineLevel="1"/>
    <col min="7" max="7" width="14.85546875" style="28" customWidth="1" collapsed="1"/>
    <col min="8" max="8" width="19.140625" style="28" customWidth="1"/>
    <col min="9" max="9" width="17.42578125" style="28" customWidth="1"/>
    <col min="10" max="10" width="19.140625" style="28" customWidth="1"/>
    <col min="11" max="12" width="0" style="28" hidden="1" customWidth="1" outlineLevel="1"/>
    <col min="13" max="13" width="9.28515625" style="28" collapsed="1"/>
    <col min="14" max="16384" width="9.28515625" style="28"/>
  </cols>
  <sheetData>
    <row r="1" spans="2:12" ht="24.75" customHeight="1">
      <c r="B1" s="67"/>
      <c r="C1" s="67"/>
      <c r="D1" s="56" t="str">
        <f>+Header!A3</f>
        <v>Checkliste</v>
      </c>
      <c r="E1" s="26" t="s">
        <v>15</v>
      </c>
      <c r="F1" s="27">
        <f>+Header!A17</f>
        <v>44552</v>
      </c>
    </row>
    <row r="2" spans="2:12" ht="15.75" customHeight="1">
      <c r="B2" s="67" t="s">
        <v>16</v>
      </c>
      <c r="C2" s="67"/>
      <c r="D2" s="57" t="str">
        <f>+Header!B4</f>
        <v>PEGASUS</v>
      </c>
      <c r="E2" s="24"/>
      <c r="F2" s="24"/>
    </row>
    <row r="3" spans="2:12" ht="15.6">
      <c r="B3" s="68" t="s">
        <v>88</v>
      </c>
      <c r="C3" s="68"/>
      <c r="D3" s="58" t="s">
        <v>218</v>
      </c>
      <c r="E3" s="30"/>
      <c r="F3" s="30"/>
    </row>
    <row r="4" spans="2:12">
      <c r="H4" s="33"/>
      <c r="J4" s="33"/>
    </row>
    <row r="5" spans="2:12" ht="33" customHeight="1">
      <c r="B5" s="34" t="s">
        <v>19</v>
      </c>
      <c r="C5" s="35" t="s">
        <v>20</v>
      </c>
      <c r="D5" s="35" t="s">
        <v>179</v>
      </c>
      <c r="E5" s="35" t="s">
        <v>22</v>
      </c>
      <c r="F5" s="35" t="s">
        <v>23</v>
      </c>
      <c r="G5" s="69" t="s">
        <v>24</v>
      </c>
      <c r="H5" s="35" t="s">
        <v>25</v>
      </c>
      <c r="I5" s="51" t="s">
        <v>26</v>
      </c>
      <c r="K5" s="51" t="s">
        <v>27</v>
      </c>
      <c r="L5" s="51" t="s">
        <v>28</v>
      </c>
    </row>
    <row r="6" spans="2:12">
      <c r="B6" s="36"/>
      <c r="C6" s="37"/>
      <c r="D6" s="60"/>
      <c r="E6" s="37" t="s">
        <v>29</v>
      </c>
      <c r="F6" s="37" t="s">
        <v>29</v>
      </c>
      <c r="G6" s="70"/>
      <c r="H6" s="37"/>
      <c r="I6" s="49"/>
      <c r="K6" s="49"/>
      <c r="L6" s="49"/>
    </row>
    <row r="8" spans="2:12">
      <c r="D8" s="53" t="s">
        <v>219</v>
      </c>
    </row>
    <row r="9" spans="2:12" ht="43.5" customHeight="1">
      <c r="B9" s="39">
        <f>9+(ROW(B9)-8)/100</f>
        <v>9.01</v>
      </c>
      <c r="C9" s="39"/>
      <c r="D9" s="40" t="s">
        <v>220</v>
      </c>
      <c r="E9" s="39"/>
      <c r="F9" s="39"/>
      <c r="G9" s="39"/>
      <c r="H9" s="40"/>
      <c r="I9" s="50" t="s">
        <v>31</v>
      </c>
      <c r="K9" s="50" t="s">
        <v>31</v>
      </c>
      <c r="L9" s="50" t="s">
        <v>31</v>
      </c>
    </row>
    <row r="10" spans="2:12" ht="42" customHeight="1">
      <c r="B10" s="39">
        <f t="shared" ref="B10:B15" si="0">9+(ROW(B10)-8)/100</f>
        <v>9.02</v>
      </c>
      <c r="C10" s="39"/>
      <c r="D10" s="61" t="s">
        <v>221</v>
      </c>
      <c r="E10" s="39"/>
      <c r="F10" s="39"/>
      <c r="G10" s="39"/>
      <c r="H10" s="40"/>
      <c r="I10" s="50" t="s">
        <v>31</v>
      </c>
      <c r="K10" s="50" t="s">
        <v>31</v>
      </c>
      <c r="L10" s="50" t="s">
        <v>31</v>
      </c>
    </row>
    <row r="11" spans="2:12" ht="36.75" customHeight="1">
      <c r="B11" s="39">
        <f t="shared" si="0"/>
        <v>9.0299999999999994</v>
      </c>
      <c r="C11" s="39"/>
      <c r="D11" s="62" t="s">
        <v>222</v>
      </c>
      <c r="E11" s="39"/>
      <c r="F11" s="39"/>
      <c r="G11" s="39"/>
      <c r="H11" s="40"/>
      <c r="I11" s="50" t="s">
        <v>31</v>
      </c>
      <c r="K11" s="50" t="s">
        <v>31</v>
      </c>
      <c r="L11" s="50" t="s">
        <v>31</v>
      </c>
    </row>
    <row r="12" spans="2:12" ht="60.75" customHeight="1">
      <c r="B12" s="39">
        <f t="shared" si="0"/>
        <v>9.0399999999999991</v>
      </c>
      <c r="C12" s="39"/>
      <c r="D12" s="62" t="s">
        <v>223</v>
      </c>
      <c r="E12" s="39"/>
      <c r="F12" s="39"/>
      <c r="G12" s="39"/>
      <c r="H12" s="40"/>
      <c r="I12" s="50" t="s">
        <v>31</v>
      </c>
      <c r="K12" s="50" t="s">
        <v>31</v>
      </c>
      <c r="L12" s="50" t="s">
        <v>31</v>
      </c>
    </row>
    <row r="13" spans="2:12" ht="30" customHeight="1">
      <c r="B13" s="39">
        <f t="shared" si="0"/>
        <v>9.0500000000000007</v>
      </c>
      <c r="C13" s="39"/>
      <c r="D13" s="62" t="s">
        <v>224</v>
      </c>
      <c r="E13" s="39"/>
      <c r="F13" s="39"/>
      <c r="G13" s="39"/>
      <c r="H13" s="40"/>
      <c r="I13" s="50" t="s">
        <v>31</v>
      </c>
      <c r="K13" s="50" t="s">
        <v>31</v>
      </c>
      <c r="L13" s="50" t="s">
        <v>31</v>
      </c>
    </row>
    <row r="14" spans="2:12" ht="36" customHeight="1">
      <c r="B14" s="39">
        <f t="shared" si="0"/>
        <v>9.06</v>
      </c>
      <c r="C14" s="39"/>
      <c r="D14" s="62" t="s">
        <v>225</v>
      </c>
      <c r="E14" s="39"/>
      <c r="F14" s="39"/>
      <c r="G14" s="39"/>
      <c r="H14" s="40"/>
      <c r="I14" s="50" t="s">
        <v>31</v>
      </c>
      <c r="K14" s="50" t="s">
        <v>31</v>
      </c>
      <c r="L14" s="50" t="s">
        <v>31</v>
      </c>
    </row>
    <row r="15" spans="2:12" ht="39" customHeight="1">
      <c r="B15" s="39">
        <f t="shared" si="0"/>
        <v>9.07</v>
      </c>
      <c r="C15" s="39"/>
      <c r="D15" s="40" t="s">
        <v>226</v>
      </c>
      <c r="E15" s="39"/>
      <c r="F15" s="39"/>
      <c r="G15" s="39"/>
      <c r="H15" s="40"/>
      <c r="I15" s="50" t="s">
        <v>31</v>
      </c>
      <c r="K15" s="50" t="s">
        <v>31</v>
      </c>
      <c r="L15" s="50" t="s">
        <v>31</v>
      </c>
    </row>
    <row r="16" spans="2:12" ht="78" customHeight="1"/>
    <row r="17" ht="54.75" customHeight="1"/>
    <row r="18" ht="42" customHeight="1"/>
  </sheetData>
  <mergeCells count="4">
    <mergeCell ref="B1:C1"/>
    <mergeCell ref="B2:C2"/>
    <mergeCell ref="B3:C3"/>
    <mergeCell ref="G5:G6"/>
  </mergeCells>
  <conditionalFormatting sqref="K9:L9">
    <cfRule type="expression" dxfId="8" priority="10" stopIfTrue="1">
      <formula>RIGHT(K9,14)="partly pending"</formula>
    </cfRule>
    <cfRule type="expression" dxfId="7" priority="11" stopIfTrue="1">
      <formula>RIGHT(K9,8)="received"</formula>
    </cfRule>
    <cfRule type="expression" dxfId="6" priority="12" stopIfTrue="1">
      <formula>RIGHT(K9,4)="open"</formula>
    </cfRule>
  </conditionalFormatting>
  <conditionalFormatting sqref="K10:L15">
    <cfRule type="expression" dxfId="5" priority="4" stopIfTrue="1">
      <formula>RIGHT(K10,14)="partly pending"</formula>
    </cfRule>
    <cfRule type="expression" dxfId="4" priority="5" stopIfTrue="1">
      <formula>RIGHT(K10,8)="received"</formula>
    </cfRule>
    <cfRule type="expression" dxfId="3" priority="6" stopIfTrue="1">
      <formula>RIGHT(K10,4)="open"</formula>
    </cfRule>
  </conditionalFormatting>
  <conditionalFormatting sqref="I9:I15">
    <cfRule type="expression" dxfId="2" priority="1" stopIfTrue="1">
      <formula>RIGHT(I9,14)="partly pending"</formula>
    </cfRule>
    <cfRule type="expression" dxfId="1" priority="2" stopIfTrue="1">
      <formula>RIGHT(I9,8)="received"</formula>
    </cfRule>
    <cfRule type="expression" dxfId="0" priority="3" stopIfTrue="1">
      <formula>RIGHT(I9,4)="open"</formula>
    </cfRule>
  </conditionalFormatting>
  <dataValidations count="1">
    <dataValidation type="list" allowBlank="1" sqref="K9:L15 I9:I15" xr:uid="{91A95090-A07B-48CC-9F43-5C2924B45134}">
      <formula1>Categories</formula1>
    </dataValidation>
  </dataValidations>
  <pageMargins left="0.74803149606299213" right="0.51181102362204722" top="0.51181102362204722" bottom="0.77" header="0.51181102362204722" footer="0.51181102362204722"/>
  <pageSetup paperSize="9" fitToHeight="5" orientation="landscape" r:id="rId1"/>
  <headerFooter alignWithMargins="0">
    <oddFooter>&amp;RPage &amp;P /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D7A1946F5FB51B459DDB186236A393BD" ma:contentTypeVersion="14" ma:contentTypeDescription="Ein neues Dokument erstellen." ma:contentTypeScope="" ma:versionID="a6fd088aaf6d802fd19fda128b0fa310">
  <xsd:schema xmlns:xsd="http://www.w3.org/2001/XMLSchema" xmlns:xs="http://www.w3.org/2001/XMLSchema" xmlns:p="http://schemas.microsoft.com/office/2006/metadata/properties" xmlns:ns2="457cfa24-320b-4dcf-98cf-a67798df7167" xmlns:ns3="70e187ea-adeb-4ac8-bde8-7cd004230832" targetNamespace="http://schemas.microsoft.com/office/2006/metadata/properties" ma:root="true" ma:fieldsID="b4dc3a22863e4f93f7f204407142e750" ns2:_="" ns3:_="">
    <xsd:import namespace="457cfa24-320b-4dcf-98cf-a67798df7167"/>
    <xsd:import namespace="70e187ea-adeb-4ac8-bde8-7cd004230832"/>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7cfa24-320b-4dcf-98cf-a67798df716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3f5d25f6-8970-4e75-b83c-1a4990c07cc9"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0e187ea-adeb-4ac8-bde8-7cd004230832"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6f4b513-cd19-489f-983a-fcf377faf41f}" ma:internalName="TaxCatchAll" ma:showField="CatchAllData" ma:web="70e187ea-adeb-4ac8-bde8-7cd00423083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7cfa24-320b-4dcf-98cf-a67798df7167">
      <Terms xmlns="http://schemas.microsoft.com/office/infopath/2007/PartnerControls"/>
    </lcf76f155ced4ddcb4097134ff3c332f>
    <TaxCatchAll xmlns="70e187ea-adeb-4ac8-bde8-7cd004230832" xsi:nil="true"/>
  </documentManagement>
</p:properties>
</file>

<file path=customXml/itemProps1.xml><?xml version="1.0" encoding="utf-8"?>
<ds:datastoreItem xmlns:ds="http://schemas.openxmlformats.org/officeDocument/2006/customXml" ds:itemID="{AAD22974-A78D-44BD-BA5E-A7C8D1C2DBBC}"/>
</file>

<file path=customXml/itemProps2.xml><?xml version="1.0" encoding="utf-8"?>
<ds:datastoreItem xmlns:ds="http://schemas.openxmlformats.org/officeDocument/2006/customXml" ds:itemID="{D9D04A54-C487-43FF-9CE7-26BF4C97A9F6}"/>
</file>

<file path=customXml/itemProps3.xml><?xml version="1.0" encoding="utf-8"?>
<ds:datastoreItem xmlns:ds="http://schemas.openxmlformats.org/officeDocument/2006/customXml" ds:itemID="{6DCDC569-64B2-450C-89E1-CDA8749200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von Westphalen</dc:creator>
  <cp:keywords/>
  <dc:description/>
  <cp:lastModifiedBy>Anja Seeliger</cp:lastModifiedBy>
  <cp:revision/>
  <dcterms:created xsi:type="dcterms:W3CDTF">2021-12-01T13:49:20Z</dcterms:created>
  <dcterms:modified xsi:type="dcterms:W3CDTF">2024-04-17T09:09:52Z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0x010100D7A1946F5FB51B459DDB186236A393BD</vt:lpwstr>
  </property>
  <property fmtid="{D5CDD505-2E9C-101B-9397-08002B2CF9AE}" pid="3" name="_ExtendedDescription">
    <vt:lpwstr/>
  </property>
  <property fmtid="{D5CDD505-2E9C-101B-9397-08002B2CF9AE}" pid="4" name="MediaServiceImageTags">
    <vt:lpwstr/>
  </property>
</Properties>
</file>